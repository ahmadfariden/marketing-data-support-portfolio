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hmad farid\Downloads\Marketing Data Support\Github\01_Excel_Marketing_Data_Support\"/>
    </mc:Choice>
  </mc:AlternateContent>
  <xr:revisionPtr revIDLastSave="0" documentId="13_ncr:1_{09A61D84-1B43-433D-8C9B-E024A833EC4F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Raw Sales Transaction" sheetId="6" r:id="rId1"/>
    <sheet name="Cleaning Sales Transaction" sheetId="1" r:id="rId2"/>
    <sheet name="Clean Sales Transaction" sheetId="5" r:id="rId3"/>
    <sheet name="Target vs Actual" sheetId="8" r:id="rId4"/>
    <sheet name="Product Performance" sheetId="11" r:id="rId5"/>
    <sheet name="Sales Rep Performance" sheetId="12" r:id="rId6"/>
    <sheet name="Dashboard" sheetId="13" r:id="rId7"/>
    <sheet name="Target Sales" sheetId="10" r:id="rId8"/>
    <sheet name="Branch Master" sheetId="3" r:id="rId9"/>
    <sheet name="Product Master" sheetId="4" r:id="rId10"/>
    <sheet name="Data Profiling" sheetId="7" r:id="rId11"/>
  </sheets>
  <definedNames>
    <definedName name="_xlnm._FilterDatabase" localSheetId="1" hidden="1">'Cleaning Sales Transaction'!$A$1:$U$342</definedName>
  </definedNames>
  <calcPr calcId="191029"/>
  <pivotCaches>
    <pivotCache cacheId="0" r:id="rId12"/>
  </pivotCaches>
</workbook>
</file>

<file path=xl/calcChain.xml><?xml version="1.0" encoding="utf-8"?>
<calcChain xmlns="http://schemas.openxmlformats.org/spreadsheetml/2006/main">
  <c r="E5" i="13" l="1"/>
  <c r="J5" i="13"/>
  <c r="N5" i="13"/>
  <c r="D4" i="8"/>
  <c r="D5" i="8"/>
  <c r="D6" i="8"/>
  <c r="D7" i="8"/>
  <c r="D8" i="8"/>
  <c r="D9" i="8"/>
  <c r="D10" i="8"/>
  <c r="D11" i="8"/>
  <c r="D12" i="8"/>
  <c r="D13" i="8"/>
  <c r="D14" i="8"/>
  <c r="D15" i="8"/>
  <c r="E5" i="8"/>
  <c r="E6" i="8"/>
  <c r="E7" i="8"/>
  <c r="E8" i="8"/>
  <c r="E9" i="8"/>
  <c r="E10" i="8"/>
  <c r="E11" i="8"/>
  <c r="E12" i="8"/>
  <c r="E13" i="8"/>
  <c r="E14" i="8"/>
  <c r="E15" i="8"/>
  <c r="E4" i="8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2" i="1"/>
  <c r="C3" i="1"/>
  <c r="D3" i="1" s="1"/>
  <c r="C4" i="1"/>
  <c r="D4" i="1" s="1"/>
  <c r="C5" i="1"/>
  <c r="D5" i="1" s="1"/>
  <c r="C6" i="1"/>
  <c r="D6" i="1" s="1"/>
  <c r="C7" i="1"/>
  <c r="D7" i="1" s="1"/>
  <c r="C198" i="1"/>
  <c r="D19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207" i="1"/>
  <c r="D207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335" i="1"/>
  <c r="D335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263" i="1"/>
  <c r="D263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8" i="1"/>
  <c r="D8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66" i="1"/>
  <c r="D66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2" i="1"/>
  <c r="D2" i="1" s="1"/>
  <c r="J3" i="1"/>
  <c r="J4" i="1"/>
  <c r="J5" i="1"/>
  <c r="J6" i="1"/>
  <c r="J7" i="1"/>
  <c r="J198" i="1"/>
  <c r="J9" i="1"/>
  <c r="J10" i="1"/>
  <c r="J11" i="1"/>
  <c r="J12" i="1"/>
  <c r="J13" i="1"/>
  <c r="J14" i="1"/>
  <c r="J15" i="1"/>
  <c r="J16" i="1"/>
  <c r="J17" i="1"/>
  <c r="J18" i="1"/>
  <c r="J20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335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263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8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9" i="1"/>
  <c r="J200" i="1"/>
  <c r="J201" i="1"/>
  <c r="J202" i="1"/>
  <c r="J203" i="1"/>
  <c r="J204" i="1"/>
  <c r="J205" i="1"/>
  <c r="J206" i="1"/>
  <c r="J208" i="1"/>
  <c r="J209" i="1"/>
  <c r="J210" i="1"/>
  <c r="J211" i="1"/>
  <c r="J212" i="1"/>
  <c r="J213" i="1"/>
  <c r="J66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6" i="1"/>
  <c r="J337" i="1"/>
  <c r="J338" i="1"/>
  <c r="J339" i="1"/>
  <c r="J340" i="1"/>
  <c r="J341" i="1"/>
  <c r="J342" i="1"/>
  <c r="J2" i="1"/>
  <c r="H3" i="1"/>
  <c r="H4" i="1"/>
  <c r="H5" i="1"/>
  <c r="H6" i="1"/>
  <c r="H7" i="1"/>
  <c r="H198" i="1"/>
  <c r="H9" i="1"/>
  <c r="H10" i="1"/>
  <c r="H11" i="1"/>
  <c r="H12" i="1"/>
  <c r="H13" i="1"/>
  <c r="H14" i="1"/>
  <c r="H15" i="1"/>
  <c r="H16" i="1"/>
  <c r="H17" i="1"/>
  <c r="H18" i="1"/>
  <c r="H20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335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263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9" i="1"/>
  <c r="H200" i="1"/>
  <c r="H201" i="1"/>
  <c r="H202" i="1"/>
  <c r="H203" i="1"/>
  <c r="H204" i="1"/>
  <c r="H205" i="1"/>
  <c r="H206" i="1"/>
  <c r="H208" i="1"/>
  <c r="H209" i="1"/>
  <c r="H210" i="1"/>
  <c r="H211" i="1"/>
  <c r="H212" i="1"/>
  <c r="H213" i="1"/>
  <c r="H66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6" i="1"/>
  <c r="H337" i="1"/>
  <c r="H338" i="1"/>
  <c r="H339" i="1"/>
  <c r="H340" i="1"/>
  <c r="H341" i="1"/>
  <c r="H342" i="1"/>
  <c r="H2" i="1"/>
  <c r="F3" i="1"/>
  <c r="F4" i="1"/>
  <c r="F5" i="1"/>
  <c r="F6" i="1"/>
  <c r="F7" i="1"/>
  <c r="F198" i="1"/>
  <c r="F9" i="1"/>
  <c r="F10" i="1"/>
  <c r="F11" i="1"/>
  <c r="F12" i="1"/>
  <c r="F13" i="1"/>
  <c r="F14" i="1"/>
  <c r="F15" i="1"/>
  <c r="F16" i="1"/>
  <c r="F17" i="1"/>
  <c r="F18" i="1"/>
  <c r="F20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335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263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8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9" i="1"/>
  <c r="F200" i="1"/>
  <c r="F201" i="1"/>
  <c r="F202" i="1"/>
  <c r="F203" i="1"/>
  <c r="F204" i="1"/>
  <c r="F205" i="1"/>
  <c r="F206" i="1"/>
  <c r="F208" i="1"/>
  <c r="F209" i="1"/>
  <c r="F210" i="1"/>
  <c r="F211" i="1"/>
  <c r="F212" i="1"/>
  <c r="F213" i="1"/>
  <c r="F66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6" i="1"/>
  <c r="F337" i="1"/>
  <c r="F338" i="1"/>
  <c r="F339" i="1"/>
  <c r="F340" i="1"/>
  <c r="F341" i="1"/>
  <c r="F342" i="1"/>
  <c r="F2" i="1"/>
  <c r="B8" i="7"/>
  <c r="B6" i="7"/>
  <c r="U3" i="1"/>
  <c r="U4" i="1"/>
  <c r="U5" i="1"/>
  <c r="U6" i="1"/>
  <c r="U7" i="1"/>
  <c r="U198" i="1"/>
  <c r="U9" i="1"/>
  <c r="U10" i="1"/>
  <c r="U11" i="1"/>
  <c r="U12" i="1"/>
  <c r="U13" i="1"/>
  <c r="U14" i="1"/>
  <c r="U15" i="1"/>
  <c r="U16" i="1"/>
  <c r="U17" i="1"/>
  <c r="U18" i="1"/>
  <c r="U207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335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263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8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9" i="1"/>
  <c r="U200" i="1"/>
  <c r="U201" i="1"/>
  <c r="U202" i="1"/>
  <c r="U203" i="1"/>
  <c r="U204" i="1"/>
  <c r="U205" i="1"/>
  <c r="U206" i="1"/>
  <c r="U208" i="1"/>
  <c r="U209" i="1"/>
  <c r="U210" i="1"/>
  <c r="U211" i="1"/>
  <c r="U212" i="1"/>
  <c r="U213" i="1"/>
  <c r="U66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6" i="1"/>
  <c r="U337" i="1"/>
  <c r="U338" i="1"/>
  <c r="U339" i="1"/>
  <c r="U340" i="1"/>
  <c r="U341" i="1"/>
  <c r="U342" i="1"/>
  <c r="U2" i="1"/>
  <c r="B4" i="7"/>
  <c r="B5" i="7" l="1"/>
  <c r="B7" i="7"/>
</calcChain>
</file>

<file path=xl/sharedStrings.xml><?xml version="1.0" encoding="utf-8"?>
<sst xmlns="http://schemas.openxmlformats.org/spreadsheetml/2006/main" count="10579" uniqueCount="685">
  <si>
    <t>Transaction ID</t>
  </si>
  <si>
    <t>Date</t>
  </si>
  <si>
    <t>Branch</t>
  </si>
  <si>
    <t>Sales Rep</t>
  </si>
  <si>
    <t>Customer Name</t>
  </si>
  <si>
    <t>Product Code</t>
  </si>
  <si>
    <t>Product Name</t>
  </si>
  <si>
    <t>Qty</t>
  </si>
  <si>
    <t>Unit Price</t>
  </si>
  <si>
    <t>Discount</t>
  </si>
  <si>
    <t>Total Sales</t>
  </si>
  <si>
    <t>Payment Method</t>
  </si>
  <si>
    <t>Payment Status</t>
  </si>
  <si>
    <t>Channel</t>
  </si>
  <si>
    <t>TRX-1086</t>
  </si>
  <si>
    <t>2026-07-14</t>
  </si>
  <si>
    <t>Cibubur</t>
  </si>
  <si>
    <t>Taufik Hidayat</t>
  </si>
  <si>
    <t>Galih Ramadhan</t>
  </si>
  <si>
    <t>P001</t>
  </si>
  <si>
    <t>NMAX</t>
  </si>
  <si>
    <t>Kredit - Mandiri Tunas</t>
  </si>
  <si>
    <t>Lunas</t>
  </si>
  <si>
    <t>Pameran</t>
  </si>
  <si>
    <t>TRX-1192</t>
  </si>
  <si>
    <t>2026-07-16</t>
  </si>
  <si>
    <t>Sukabumi</t>
  </si>
  <si>
    <t>Vino Bastian G.</t>
  </si>
  <si>
    <t>Made Ramadhan</t>
  </si>
  <si>
    <t>Debit/Transfer</t>
  </si>
  <si>
    <t>Online - Website</t>
  </si>
  <si>
    <t>TRX-1108</t>
  </si>
  <si>
    <t>15 Juli 2026</t>
  </si>
  <si>
    <t>Depok</t>
  </si>
  <si>
    <t>Joko Widodo S.</t>
  </si>
  <si>
    <t>Putra Hidayat</t>
  </si>
  <si>
    <t>P010</t>
  </si>
  <si>
    <t>Freego</t>
  </si>
  <si>
    <t>Cash</t>
  </si>
  <si>
    <t>Referral</t>
  </si>
  <si>
    <t>TRX-1106</t>
  </si>
  <si>
    <t>15/07/2026</t>
  </si>
  <si>
    <t>Lina Marlina</t>
  </si>
  <si>
    <t>Hana Anggraini</t>
  </si>
  <si>
    <t>P008</t>
  </si>
  <si>
    <t>MX King</t>
  </si>
  <si>
    <t>Kredit - Adira</t>
  </si>
  <si>
    <t>TRX-1124</t>
  </si>
  <si>
    <t>Jakarta Selatan</t>
  </si>
  <si>
    <t>Fajar Nugraha</t>
  </si>
  <si>
    <t>Putra Saputra</t>
  </si>
  <si>
    <t>P007</t>
  </si>
  <si>
    <t>XSR 155</t>
  </si>
  <si>
    <t>TRX-1094</t>
  </si>
  <si>
    <t>Hadi Santoso</t>
  </si>
  <si>
    <t>Galih Kusuma</t>
  </si>
  <si>
    <t>TRX-1236</t>
  </si>
  <si>
    <t>2026-07-17</t>
  </si>
  <si>
    <t>Umi Kalsum</t>
  </si>
  <si>
    <t>Putra Kusuma</t>
  </si>
  <si>
    <t>P005</t>
  </si>
  <si>
    <t>Fazzio</t>
  </si>
  <si>
    <t>Kredit - FIF</t>
  </si>
  <si>
    <t>TRX-1012</t>
  </si>
  <si>
    <t>2026-07-13</t>
  </si>
  <si>
    <t>Bandung</t>
  </si>
  <si>
    <t>Puji Lestari</t>
  </si>
  <si>
    <t>Oscar Wijaya</t>
  </si>
  <si>
    <t>P006</t>
  </si>
  <si>
    <t>Gear</t>
  </si>
  <si>
    <t>TRX-1148</t>
  </si>
  <si>
    <t>Bekasi</t>
  </si>
  <si>
    <t>Sari Dewi</t>
  </si>
  <si>
    <t>Made Wijaya</t>
  </si>
  <si>
    <t>TRX-1213</t>
  </si>
  <si>
    <t>Eka Putri</t>
  </si>
  <si>
    <t>Ahmad Hidayat</t>
  </si>
  <si>
    <t>Showroom</t>
  </si>
  <si>
    <t>TRX-1340</t>
  </si>
  <si>
    <t>19/07/2026</t>
  </si>
  <si>
    <t>Kiki Amelia</t>
  </si>
  <si>
    <t>Eko Kusuma</t>
  </si>
  <si>
    <t>DP</t>
  </si>
  <si>
    <t>TRX-1132</t>
  </si>
  <si>
    <t>2026-07-15</t>
  </si>
  <si>
    <t>Karawang</t>
  </si>
  <si>
    <t>Citra Ramadhan</t>
  </si>
  <si>
    <t>Proses Kredit</t>
  </si>
  <si>
    <t>TRX-1147</t>
  </si>
  <si>
    <t>BEKASI</t>
  </si>
  <si>
    <t>Kevin Kusuma</t>
  </si>
  <si>
    <t>P009</t>
  </si>
  <si>
    <t>Grand Filano</t>
  </si>
  <si>
    <t>TRX-1126</t>
  </si>
  <si>
    <t>Gita Ayu</t>
  </si>
  <si>
    <t>Eko Ramadhan</t>
  </si>
  <si>
    <t>TRX-1066</t>
  </si>
  <si>
    <t>Serang</t>
  </si>
  <si>
    <t>Rangga Saputra</t>
  </si>
  <si>
    <t>P002</t>
  </si>
  <si>
    <t>Aerox</t>
  </si>
  <si>
    <t>TRX-1289</t>
  </si>
  <si>
    <t>18/07/2026</t>
  </si>
  <si>
    <t>Qori Lestari</t>
  </si>
  <si>
    <t>TRX-1005</t>
  </si>
  <si>
    <t>13 Juli 2026</t>
  </si>
  <si>
    <t>Hana Kusuma</t>
  </si>
  <si>
    <t>TRX-1268</t>
  </si>
  <si>
    <t>2026-07-18</t>
  </si>
  <si>
    <t>Irfan Firmansyah</t>
  </si>
  <si>
    <t>TRX-1068</t>
  </si>
  <si>
    <t>14/07/2026</t>
  </si>
  <si>
    <t>Jakarta Timur</t>
  </si>
  <si>
    <t>Lukman Hakim</t>
  </si>
  <si>
    <t>Rendi Ramadhan</t>
  </si>
  <si>
    <t>TRX-1237</t>
  </si>
  <si>
    <t>Irfan Pratama</t>
  </si>
  <si>
    <t>TRX-1074</t>
  </si>
  <si>
    <t>Eko Wijaya</t>
  </si>
  <si>
    <t>TRX-1121</t>
  </si>
  <si>
    <t>Oscar Hidayat</t>
  </si>
  <si>
    <t>TRX-1207</t>
  </si>
  <si>
    <t>17 Juli 2026</t>
  </si>
  <si>
    <t>Citra Pratama</t>
  </si>
  <si>
    <t>TRX-1155</t>
  </si>
  <si>
    <t>16/07/2026</t>
  </si>
  <si>
    <t>Oki Setiawan</t>
  </si>
  <si>
    <t>Made Anggraini</t>
  </si>
  <si>
    <t>TRX-1271</t>
  </si>
  <si>
    <t>TRX-1007</t>
  </si>
  <si>
    <t>Indah Permata</t>
  </si>
  <si>
    <t>Eko Firmansyah</t>
  </si>
  <si>
    <t>TRX-1209</t>
  </si>
  <si>
    <t>Putra Wijaya</t>
  </si>
  <si>
    <t>TRX-1172</t>
  </si>
  <si>
    <t>16 Juli 2026</t>
  </si>
  <si>
    <t>Dewi Firmansyah</t>
  </si>
  <si>
    <t>TRX-1270</t>
  </si>
  <si>
    <t>Tono Wijaya</t>
  </si>
  <si>
    <t>TRX-1335</t>
  </si>
  <si>
    <t>2026-07-19</t>
  </si>
  <si>
    <t>Putra Ramadhan</t>
  </si>
  <si>
    <t>P004</t>
  </si>
  <si>
    <t>Mio</t>
  </si>
  <si>
    <t>TRX-1091</t>
  </si>
  <si>
    <t>Doni Saputra</t>
  </si>
  <si>
    <t>Ahmad Wijaya</t>
  </si>
  <si>
    <t>TRX-1060</t>
  </si>
  <si>
    <t>Cikarang</t>
  </si>
  <si>
    <t>Citra Hidayat</t>
  </si>
  <si>
    <t>TRX-1259</t>
  </si>
  <si>
    <t>Hana Firmansyah</t>
  </si>
  <si>
    <t>P003</t>
  </si>
  <si>
    <t>Lexi</t>
  </si>
  <si>
    <t>TRX-1140</t>
  </si>
  <si>
    <t>Tangerang</t>
  </si>
  <si>
    <t>Kevin Firmansyah</t>
  </si>
  <si>
    <t>TRX-1224</t>
  </si>
  <si>
    <t>Fitri Saputra</t>
  </si>
  <si>
    <t>TRX-1120</t>
  </si>
  <si>
    <t>Eko Maharani</t>
  </si>
  <si>
    <t>TRX-1247</t>
  </si>
  <si>
    <t>18 Juli 2026</t>
  </si>
  <si>
    <t>Dewi Ramadhan</t>
  </si>
  <si>
    <t>TRX-1019</t>
  </si>
  <si>
    <t>Kevin Lestari</t>
  </si>
  <si>
    <t>TRX-1324</t>
  </si>
  <si>
    <t>19 Juli 2026</t>
  </si>
  <si>
    <t>Mira Anjani</t>
  </si>
  <si>
    <t>Budi Ramadhan</t>
  </si>
  <si>
    <t>TRX-1310</t>
  </si>
  <si>
    <t>Oscar Saputra</t>
  </si>
  <si>
    <t>TRX-1208</t>
  </si>
  <si>
    <t>TRX-1090</t>
  </si>
  <si>
    <t>Irfan Saputra</t>
  </si>
  <si>
    <t>TRX-1291</t>
  </si>
  <si>
    <t>Citra Kusuma</t>
  </si>
  <si>
    <t>TRX-1328</t>
  </si>
  <si>
    <t>Siska Lestari</t>
  </si>
  <si>
    <t>TRX-1186</t>
  </si>
  <si>
    <t>Ahmad Anggraini</t>
  </si>
  <si>
    <t>TRX-1163</t>
  </si>
  <si>
    <t>Bogor</t>
  </si>
  <si>
    <t>Galih Hidayat</t>
  </si>
  <si>
    <t>TRX-1133</t>
  </si>
  <si>
    <t>TRX-1250</t>
  </si>
  <si>
    <t>TRX-1096</t>
  </si>
  <si>
    <t>Tono Anggraini</t>
  </si>
  <si>
    <t>TRX-1081</t>
  </si>
  <si>
    <t>14 Juli 2026</t>
  </si>
  <si>
    <t>Hana Hidayat</t>
  </si>
  <si>
    <t>TRX-1245</t>
  </si>
  <si>
    <t>Siska Maharani</t>
  </si>
  <si>
    <t>TRX-1168</t>
  </si>
  <si>
    <t>Eko Saputra</t>
  </si>
  <si>
    <t>TRX-1258</t>
  </si>
  <si>
    <t>TRX-1337</t>
  </si>
  <si>
    <t>Jihan Lestari</t>
  </si>
  <si>
    <t>TRX-1107</t>
  </si>
  <si>
    <t>Siska Anggraini</t>
  </si>
  <si>
    <t>TRX-1225</t>
  </si>
  <si>
    <t>Nanda Pratama</t>
  </si>
  <si>
    <t>Citra Maharani</t>
  </si>
  <si>
    <t>TRX-1325</t>
  </si>
  <si>
    <t>Qori Firmansyah</t>
  </si>
  <si>
    <t>TRX-1151</t>
  </si>
  <si>
    <t>TRX-1305</t>
  </si>
  <si>
    <t>Kevin Anggraini</t>
  </si>
  <si>
    <t>TRX-1269</t>
  </si>
  <si>
    <t>Eko Pratama</t>
  </si>
  <si>
    <t>TRX-1202</t>
  </si>
  <si>
    <t>17/07/2026</t>
  </si>
  <si>
    <t>TANGERANG</t>
  </si>
  <si>
    <t>Fitri Anggraini</t>
  </si>
  <si>
    <t>TRX-1013</t>
  </si>
  <si>
    <t>13/07/2026</t>
  </si>
  <si>
    <t>Budi Hidayat</t>
  </si>
  <si>
    <t>TRX-1200</t>
  </si>
  <si>
    <t>TRX-1028</t>
  </si>
  <si>
    <t>Tono Ramadhan</t>
  </si>
  <si>
    <t>TRX-1103</t>
  </si>
  <si>
    <t>Kevin Wijaya</t>
  </si>
  <si>
    <t>TRX-1339</t>
  </si>
  <si>
    <t>Rendi Kusuma</t>
  </si>
  <si>
    <t>TRX-1093</t>
  </si>
  <si>
    <t>Dewi Hidayat</t>
  </si>
  <si>
    <t>TRX-1030</t>
  </si>
  <si>
    <t>Jihan Firmansyah</t>
  </si>
  <si>
    <t>TRX-1059</t>
  </si>
  <si>
    <t>TRX-1193</t>
  </si>
  <si>
    <t>Lala Saputra</t>
  </si>
  <si>
    <t>TRX-1223</t>
  </si>
  <si>
    <t>Tono Saputra</t>
  </si>
  <si>
    <t>TRX-1278</t>
  </si>
  <si>
    <t>Budi Firmansyah</t>
  </si>
  <si>
    <t>TRX-1295</t>
  </si>
  <si>
    <t>Kevin Ramadhan</t>
  </si>
  <si>
    <t>TRX-1231</t>
  </si>
  <si>
    <t>Lala Maharani</t>
  </si>
  <si>
    <t>TRX-1092</t>
  </si>
  <si>
    <t>Budi Kusuma</t>
  </si>
  <si>
    <t>TRX-1300</t>
  </si>
  <si>
    <t>Rudi Hartono</t>
  </si>
  <si>
    <t>Rendi Pratama</t>
  </si>
  <si>
    <t>TRX-1293</t>
  </si>
  <si>
    <t>Fitri Firmansyah</t>
  </si>
  <si>
    <t>TRX-1309</t>
  </si>
  <si>
    <t>TRX-1212</t>
  </si>
  <si>
    <t>TRX-1303</t>
  </si>
  <si>
    <t>Citra Lestari</t>
  </si>
  <si>
    <t>TRX-1123</t>
  </si>
  <si>
    <t>Kevin Hidayat</t>
  </si>
  <si>
    <t>TRX-1015</t>
  </si>
  <si>
    <t>Irfan Anggraini</t>
  </si>
  <si>
    <t>TRX-1251</t>
  </si>
  <si>
    <t>TRX-1112</t>
  </si>
  <si>
    <t>TRX-1205</t>
  </si>
  <si>
    <t>TRX-1052</t>
  </si>
  <si>
    <t>TRX-1010</t>
  </si>
  <si>
    <t>Lala Lestari</t>
  </si>
  <si>
    <t>TRX-1276</t>
  </si>
  <si>
    <t>TRX-1017</t>
  </si>
  <si>
    <t>TRX-1248</t>
  </si>
  <si>
    <t>Putra Maharani</t>
  </si>
  <si>
    <t>TRX-1001</t>
  </si>
  <si>
    <t>Nia Saputra</t>
  </si>
  <si>
    <t>TRX-1159</t>
  </si>
  <si>
    <t>Kevin Pratama</t>
  </si>
  <si>
    <t>TRX-1139</t>
  </si>
  <si>
    <t>Nia Pratama</t>
  </si>
  <si>
    <t>TRX-1063</t>
  </si>
  <si>
    <t>Irfan Ramadhan</t>
  </si>
  <si>
    <t>TRX-1329</t>
  </si>
  <si>
    <t>Irfan Wijaya</t>
  </si>
  <si>
    <t>TRX-1160</t>
  </si>
  <si>
    <t>Nia Firmansyah</t>
  </si>
  <si>
    <t>TRX-1198</t>
  </si>
  <si>
    <t>TRX-1071</t>
  </si>
  <si>
    <t>Oscar Lestari</t>
  </si>
  <si>
    <t>TRX-1181</t>
  </si>
  <si>
    <t>Made Hidayat</t>
  </si>
  <si>
    <t>TRX-1118</t>
  </si>
  <si>
    <t>TRX-1042</t>
  </si>
  <si>
    <t>Fitri Maharani</t>
  </si>
  <si>
    <t>TRX-1128</t>
  </si>
  <si>
    <t>Jaksel</t>
  </si>
  <si>
    <t>Tono Hidayat</t>
  </si>
  <si>
    <t>TRX-1334</t>
  </si>
  <si>
    <t>TRX-1296</t>
  </si>
  <si>
    <t>Budi Lestari</t>
  </si>
  <si>
    <t>TRX-1249</t>
  </si>
  <si>
    <t>Budi Anggraini</t>
  </si>
  <si>
    <t>TRX-1164</t>
  </si>
  <si>
    <t>Jihan Ramadhan</t>
  </si>
  <si>
    <t>TRX-1040</t>
  </si>
  <si>
    <t>TRX-1113</t>
  </si>
  <si>
    <t>Lala Pratama</t>
  </si>
  <si>
    <t>TRX-1079</t>
  </si>
  <si>
    <t>Oscar Pratama</t>
  </si>
  <si>
    <t>TRX-1338</t>
  </si>
  <si>
    <t>TRX-1190</t>
  </si>
  <si>
    <t>Putra Firmansyah</t>
  </si>
  <si>
    <t>TRX-1330</t>
  </si>
  <si>
    <t>TRX-1018</t>
  </si>
  <si>
    <t>Fitri Wijaya</t>
  </si>
  <si>
    <t>TRX-1274</t>
  </si>
  <si>
    <t>TRX-1229</t>
  </si>
  <si>
    <t>TRX-1089</t>
  </si>
  <si>
    <t>TRX-1170</t>
  </si>
  <si>
    <t>TRX-1315</t>
  </si>
  <si>
    <t>Galih Anggraini</t>
  </si>
  <si>
    <t>TRX-1043</t>
  </si>
  <si>
    <t>Galih Wijaya</t>
  </si>
  <si>
    <t>TRX-1162</t>
  </si>
  <si>
    <t>Citra Firmansyah</t>
  </si>
  <si>
    <t>TRX-1175</t>
  </si>
  <si>
    <t>TRX-1257</t>
  </si>
  <si>
    <t>Irfan Lestari</t>
  </si>
  <si>
    <t>TRX-1166</t>
  </si>
  <si>
    <t>TRX-1174</t>
  </si>
  <si>
    <t>Rendi Hidayat</t>
  </si>
  <si>
    <t>TRX-1006</t>
  </si>
  <si>
    <t>Siska Hidayat</t>
  </si>
  <si>
    <t>TRX-1230</t>
  </si>
  <si>
    <t>Hana Maharani</t>
  </si>
  <si>
    <t>TRX-1180</t>
  </si>
  <si>
    <t>TRX-1039</t>
  </si>
  <si>
    <t>Tono Firmansyah</t>
  </si>
  <si>
    <t>TRX-1239</t>
  </si>
  <si>
    <t>Dewi Wijaya</t>
  </si>
  <si>
    <t>TRX-1292</t>
  </si>
  <si>
    <t>Oscar Kusuma</t>
  </si>
  <si>
    <t>TRX-1243</t>
  </si>
  <si>
    <t>Irfan Maharani</t>
  </si>
  <si>
    <t>TRX-1101</t>
  </si>
  <si>
    <t>TRX-1035</t>
  </si>
  <si>
    <t>Rendi Anggraini</t>
  </si>
  <si>
    <t>TRX-1111</t>
  </si>
  <si>
    <t>TRX-1187</t>
  </si>
  <si>
    <t>Oscar Anggraini</t>
  </si>
  <si>
    <t>TRX-1327</t>
  </si>
  <si>
    <t>Siska Saputra</t>
  </si>
  <si>
    <t>TRX-1020</t>
  </si>
  <si>
    <t>TRX-1218</t>
  </si>
  <si>
    <t>TRX-1045</t>
  </si>
  <si>
    <t>Oscar Ramadhan</t>
  </si>
  <si>
    <t>TRX-1214</t>
  </si>
  <si>
    <t>Fitri Lestari</t>
  </si>
  <si>
    <t>TRX-1115</t>
  </si>
  <si>
    <t>Lala Firmansyah</t>
  </si>
  <si>
    <t>TRX-1189</t>
  </si>
  <si>
    <t>Galih Pratama</t>
  </si>
  <si>
    <t>TRX-1109</t>
  </si>
  <si>
    <t>TRX-1301</t>
  </si>
  <si>
    <t>TRX-1080</t>
  </si>
  <si>
    <t>Galih Maharani</t>
  </si>
  <si>
    <t>TRX-1331</t>
  </si>
  <si>
    <t>TRX-1206</t>
  </si>
  <si>
    <t>TRX-1009</t>
  </si>
  <si>
    <t>TRX-1287</t>
  </si>
  <si>
    <t>TRX-1100</t>
  </si>
  <si>
    <t>TRX-1304</t>
  </si>
  <si>
    <t xml:space="preserve">Bekasi </t>
  </si>
  <si>
    <t>TRX-1286</t>
  </si>
  <si>
    <t>TRX-1279</t>
  </si>
  <si>
    <t>TRX-1029</t>
  </si>
  <si>
    <t>TRX-1032</t>
  </si>
  <si>
    <t>TRX-1056</t>
  </si>
  <si>
    <t>Citra Saputra</t>
  </si>
  <si>
    <t>TRX-1173</t>
  </si>
  <si>
    <t>Fitri Hidayat</t>
  </si>
  <si>
    <t>TRX-1033</t>
  </si>
  <si>
    <t>Citra Anggraini</t>
  </si>
  <si>
    <t>TRX-1219</t>
  </si>
  <si>
    <t>Hana Ramadhan</t>
  </si>
  <si>
    <t>TRX-1049</t>
  </si>
  <si>
    <t>TRX-1288</t>
  </si>
  <si>
    <t>TRX-1232</t>
  </si>
  <si>
    <t>TRX-1034</t>
  </si>
  <si>
    <t>Qori Anggraini</t>
  </si>
  <si>
    <t>TRX-1036</t>
  </si>
  <si>
    <t>Jihan Pratama</t>
  </si>
  <si>
    <t>TRX-1272</t>
  </si>
  <si>
    <t>TRX-1064</t>
  </si>
  <si>
    <t>TRX-1158</t>
  </si>
  <si>
    <t>TRX-1129</t>
  </si>
  <si>
    <t>Made Lestari</t>
  </si>
  <si>
    <t>TRX-1047</t>
  </si>
  <si>
    <t>TRX-1067</t>
  </si>
  <si>
    <t>TRX-1222</t>
  </si>
  <si>
    <t>Nia Wijaya</t>
  </si>
  <si>
    <t>TRX-1176</t>
  </si>
  <si>
    <t>Tono Lestari</t>
  </si>
  <si>
    <t>TRX-1332</t>
  </si>
  <si>
    <t>Rendi Saputra</t>
  </si>
  <si>
    <t>TRX-1341</t>
  </si>
  <si>
    <t>TRX-1308</t>
  </si>
  <si>
    <t>TRX-1046</t>
  </si>
  <si>
    <t>TRX-1169</t>
  </si>
  <si>
    <t>TRX-1048</t>
  </si>
  <si>
    <t>TRX-1114</t>
  </si>
  <si>
    <t>TRX-1178</t>
  </si>
  <si>
    <t>Made Saputra</t>
  </si>
  <si>
    <t>TRX-1319</t>
  </si>
  <si>
    <t>Eko Lestari</t>
  </si>
  <si>
    <t>TRX-1041</t>
  </si>
  <si>
    <t>Budi Saputra</t>
  </si>
  <si>
    <t>TRX-1022</t>
  </si>
  <si>
    <t>TRX-1102</t>
  </si>
  <si>
    <t>TRX-1165</t>
  </si>
  <si>
    <t>TRX-1070</t>
  </si>
  <si>
    <t>TRX-1054</t>
  </si>
  <si>
    <t>TRX-1138</t>
  </si>
  <si>
    <t>TRX-1025</t>
  </si>
  <si>
    <t>TRX-1297</t>
  </si>
  <si>
    <t>TRX-1188</t>
  </si>
  <si>
    <t>TRX-1185</t>
  </si>
  <si>
    <t>TRX-1135</t>
  </si>
  <si>
    <t>Lala Kusuma</t>
  </si>
  <si>
    <t>TRX-1262</t>
  </si>
  <si>
    <t>TRX-1117</t>
  </si>
  <si>
    <t>TRX-1323</t>
  </si>
  <si>
    <t>TRX-1143</t>
  </si>
  <si>
    <t>Siska Pratama</t>
  </si>
  <si>
    <t>TRX-1299</t>
  </si>
  <si>
    <t xml:space="preserve">Tangerang </t>
  </si>
  <si>
    <t>TRX-1285</t>
  </si>
  <si>
    <t>TRX-1057</t>
  </si>
  <si>
    <t>Putra Anggraini</t>
  </si>
  <si>
    <t>TRX-1062</t>
  </si>
  <si>
    <t>TRX-1275</t>
  </si>
  <si>
    <t>TRX-1226</t>
  </si>
  <si>
    <t>Siska Ramadhan</t>
  </si>
  <si>
    <t>TRX-1228</t>
  </si>
  <si>
    <t>TRX-1085</t>
  </si>
  <si>
    <t>TRX-1182</t>
  </si>
  <si>
    <t>TRX-1233</t>
  </si>
  <si>
    <t>Lala Ramadhan</t>
  </si>
  <si>
    <t>TRX-1294</t>
  </si>
  <si>
    <t>TRX-1220</t>
  </si>
  <si>
    <t>TRX-1119</t>
  </si>
  <si>
    <t>Nia Kusuma</t>
  </si>
  <si>
    <t>TRX-1261</t>
  </si>
  <si>
    <t>TRX-1171</t>
  </si>
  <si>
    <t>Budi Wijaya</t>
  </si>
  <si>
    <t>TRX-1146</t>
  </si>
  <si>
    <t>TRX-1130</t>
  </si>
  <si>
    <t>TRX-1302</t>
  </si>
  <si>
    <t>Qori Kusuma</t>
  </si>
  <si>
    <t>TRX-1055</t>
  </si>
  <si>
    <t>Jihan Anggraini</t>
  </si>
  <si>
    <t>TRX-1177</t>
  </si>
  <si>
    <t>TRX-1311</t>
  </si>
  <si>
    <t>TRX-1195</t>
  </si>
  <si>
    <t>Dewi Maharani</t>
  </si>
  <si>
    <t>TRX-1199</t>
  </si>
  <si>
    <t>TRX-1215</t>
  </si>
  <si>
    <t>TRX-1235</t>
  </si>
  <si>
    <t>TRX-1273</t>
  </si>
  <si>
    <t>TRX-1183</t>
  </si>
  <si>
    <t>TRX-1252</t>
  </si>
  <si>
    <t>Galih Saputra</t>
  </si>
  <si>
    <t>TRX-1099</t>
  </si>
  <si>
    <t>TRX-1104</t>
  </si>
  <si>
    <t>Qori Wijaya</t>
  </si>
  <si>
    <t>TRX-1284</t>
  </si>
  <si>
    <t>Nia Maharani</t>
  </si>
  <si>
    <t>TRX-1131</t>
  </si>
  <si>
    <t>Made Maharani</t>
  </si>
  <si>
    <t>TRX-1098</t>
  </si>
  <si>
    <t>Tangerang Kota</t>
  </si>
  <si>
    <t>TRX-1321</t>
  </si>
  <si>
    <t>TRX-1083</t>
  </si>
  <si>
    <t>TRX-1246</t>
  </si>
  <si>
    <t>Citra Wijaya</t>
  </si>
  <si>
    <t>TRX-1234</t>
  </si>
  <si>
    <t>Rendi Maharani</t>
  </si>
  <si>
    <t>TRX-1061</t>
  </si>
  <si>
    <t>TRX-1095</t>
  </si>
  <si>
    <t>TRX-1194</t>
  </si>
  <si>
    <t>TRX-1141</t>
  </si>
  <si>
    <t>TRX-1161</t>
  </si>
  <si>
    <t>Eko Anggraini</t>
  </si>
  <si>
    <t>TRX-1149</t>
  </si>
  <si>
    <t>Hana Saputra</t>
  </si>
  <si>
    <t>TRX-1221</t>
  </si>
  <si>
    <t>TRX-1203</t>
  </si>
  <si>
    <t>TRX-1153</t>
  </si>
  <si>
    <t>TRX-1313</t>
  </si>
  <si>
    <t>Dewi Pratama</t>
  </si>
  <si>
    <t>TRX-1136</t>
  </si>
  <si>
    <t>TRX-1082</t>
  </si>
  <si>
    <t>Ahmad Kusuma</t>
  </si>
  <si>
    <t>TRX-1125</t>
  </si>
  <si>
    <t>TRX-1024</t>
  </si>
  <si>
    <t>Jihan Hidayat</t>
  </si>
  <si>
    <t>TRX-1011</t>
  </si>
  <si>
    <t>TRX-1014</t>
  </si>
  <si>
    <t>TRX-1097</t>
  </si>
  <si>
    <t>TRX-1211</t>
  </si>
  <si>
    <t>TRX-1333</t>
  </si>
  <si>
    <t>TRX-1241</t>
  </si>
  <si>
    <t>TRX-1058</t>
  </si>
  <si>
    <t>Ahmad Lestari</t>
  </si>
  <si>
    <t>TRX-1037</t>
  </si>
  <si>
    <t>TRX-1312</t>
  </si>
  <si>
    <t>TRX-1021</t>
  </si>
  <si>
    <t>Qori Saputra</t>
  </si>
  <si>
    <t>TRX-1307</t>
  </si>
  <si>
    <t>Rendi Firmansyah</t>
  </si>
  <si>
    <t>TRX-1076</t>
  </si>
  <si>
    <t>TRX-1201</t>
  </si>
  <si>
    <t>Putra Lestari</t>
  </si>
  <si>
    <t>TRX-1078</t>
  </si>
  <si>
    <t>TRX-1264</t>
  </si>
  <si>
    <t>TRX-1150</t>
  </si>
  <si>
    <t>TRX-1306</t>
  </si>
  <si>
    <t>Galih Lestari</t>
  </si>
  <si>
    <t>TRX-1003</t>
  </si>
  <si>
    <t>Rendi Wijaya</t>
  </si>
  <si>
    <t>TRX-1053</t>
  </si>
  <si>
    <t>Qori Ramadhan</t>
  </si>
  <si>
    <t>TRX-1263</t>
  </si>
  <si>
    <t>TRX-1254</t>
  </si>
  <si>
    <t>TRX-1260</t>
  </si>
  <si>
    <t>TRX-1184</t>
  </si>
  <si>
    <t>TRX-1152</t>
  </si>
  <si>
    <t>TRX-1316</t>
  </si>
  <si>
    <t>TRX-1191</t>
  </si>
  <si>
    <t>Siska Wijaya</t>
  </si>
  <si>
    <t>TRX-1075</t>
  </si>
  <si>
    <t>TRX-1244</t>
  </si>
  <si>
    <t>TRX-1088</t>
  </si>
  <si>
    <t>TRX-1240</t>
  </si>
  <si>
    <t>TRX-1144</t>
  </si>
  <si>
    <t>TRX-1290</t>
  </si>
  <si>
    <t>TRX-1267</t>
  </si>
  <si>
    <t>TRX-1137</t>
  </si>
  <si>
    <t>TRX-1167</t>
  </si>
  <si>
    <t>TRX-1084</t>
  </si>
  <si>
    <t>Ahmad Saputra</t>
  </si>
  <si>
    <t>TRX-1156</t>
  </si>
  <si>
    <t>TRX-1280</t>
  </si>
  <si>
    <t>Budi Pratama</t>
  </si>
  <si>
    <t>TRX-1127</t>
  </si>
  <si>
    <t>TRX-1196</t>
  </si>
  <si>
    <t>Hana Lestari</t>
  </si>
  <si>
    <t>TRX-1266</t>
  </si>
  <si>
    <t>TRX-1322</t>
  </si>
  <si>
    <t>Made Kusuma</t>
  </si>
  <si>
    <t>TRX-1105</t>
  </si>
  <si>
    <t>Jihan Wijaya</t>
  </si>
  <si>
    <t>TRX-1154</t>
  </si>
  <si>
    <t>TRX-1283</t>
  </si>
  <si>
    <t>TRX-1227</t>
  </si>
  <si>
    <t>TRX-1026</t>
  </si>
  <si>
    <t>TRX-1197</t>
  </si>
  <si>
    <t>TRX-1065</t>
  </si>
  <si>
    <t>TRX-1016</t>
  </si>
  <si>
    <t>TRX-1298</t>
  </si>
  <si>
    <t>TRX-1110</t>
  </si>
  <si>
    <t>TRX-1027</t>
  </si>
  <si>
    <t>Irfan Hidayat</t>
  </si>
  <si>
    <t>TRX-1077</t>
  </si>
  <si>
    <t>TRX-1044</t>
  </si>
  <si>
    <t>TRX-1281</t>
  </si>
  <si>
    <t>Lala Wijaya</t>
  </si>
  <si>
    <t>TRX-1004</t>
  </si>
  <si>
    <t>Hana Wijaya</t>
  </si>
  <si>
    <t>TRX-1050</t>
  </si>
  <si>
    <t>TRX-1031</t>
  </si>
  <si>
    <t>TRX-1122</t>
  </si>
  <si>
    <t>TRX-1116</t>
  </si>
  <si>
    <t>TRX-1326</t>
  </si>
  <si>
    <t>TRX-1217</t>
  </si>
  <si>
    <t>TRX-1265</t>
  </si>
  <si>
    <t>Ahmad Pratama</t>
  </si>
  <si>
    <t>TRX-1210</t>
  </si>
  <si>
    <t>TRX-1317</t>
  </si>
  <si>
    <t>TRX-1002</t>
  </si>
  <si>
    <t>TRX-1314</t>
  </si>
  <si>
    <t>TRX-1023</t>
  </si>
  <si>
    <t>Oscar Firmansyah</t>
  </si>
  <si>
    <t>TRX-1318</t>
  </si>
  <si>
    <t>Ahmad Ramadhan</t>
  </si>
  <si>
    <t>TRX-1320</t>
  </si>
  <si>
    <t>TRX-1008</t>
  </si>
  <si>
    <t>TRX-1142</t>
  </si>
  <si>
    <t>TRX-1087</t>
  </si>
  <si>
    <t>TRX-1242</t>
  </si>
  <si>
    <t>Dewi Lestari</t>
  </si>
  <si>
    <t>TRX-1216</t>
  </si>
  <si>
    <t>TRX-1069</t>
  </si>
  <si>
    <t>TRX-1051</t>
  </si>
  <si>
    <t>TRX-1157</t>
  </si>
  <si>
    <t>Dewi Saputra</t>
  </si>
  <si>
    <t>TRX-1253</t>
  </si>
  <si>
    <t>TRX-1255</t>
  </si>
  <si>
    <t>TRX-1277</t>
  </si>
  <si>
    <t>TRX-1179</t>
  </si>
  <si>
    <t>TRX-1282</t>
  </si>
  <si>
    <t>TRX-1238</t>
  </si>
  <si>
    <t>TRX-1072</t>
  </si>
  <si>
    <t>TRX-1145</t>
  </si>
  <si>
    <t>TRX-1336</t>
  </si>
  <si>
    <t>TRX-1134</t>
  </si>
  <si>
    <t>Made Firmansyah</t>
  </si>
  <si>
    <t>TRX-1204</t>
  </si>
  <si>
    <t>TRX-1256</t>
  </si>
  <si>
    <t>Qori Maharani</t>
  </si>
  <si>
    <t>TRX-1073</t>
  </si>
  <si>
    <t>TRX-1038</t>
  </si>
  <si>
    <t>Week</t>
  </si>
  <si>
    <t>Target Unit</t>
  </si>
  <si>
    <t>Target Revenue</t>
  </si>
  <si>
    <t>2026-W29 (13-19 Jul 2026)</t>
  </si>
  <si>
    <t>Branch Code</t>
  </si>
  <si>
    <t>Branch Name</t>
  </si>
  <si>
    <t>City</t>
  </si>
  <si>
    <t>Region</t>
  </si>
  <si>
    <t>Branch Manager</t>
  </si>
  <si>
    <t>BR01</t>
  </si>
  <si>
    <t>Banten</t>
  </si>
  <si>
    <t>Andi Wijaya</t>
  </si>
  <si>
    <t>BR02</t>
  </si>
  <si>
    <t>Jawa Barat</t>
  </si>
  <si>
    <t>Siti Nuraini</t>
  </si>
  <si>
    <t>BR03</t>
  </si>
  <si>
    <t>Budi Santoso</t>
  </si>
  <si>
    <t>BR04</t>
  </si>
  <si>
    <t>Rina Marlina</t>
  </si>
  <si>
    <t>BR05</t>
  </si>
  <si>
    <t>Dedi Kurniawan</t>
  </si>
  <si>
    <t>BR06</t>
  </si>
  <si>
    <t>Yusuf Hakim</t>
  </si>
  <si>
    <t>BR07</t>
  </si>
  <si>
    <t>Maya Sari</t>
  </si>
  <si>
    <t>BR08</t>
  </si>
  <si>
    <t>Jakarta</t>
  </si>
  <si>
    <t>DKI Jakarta</t>
  </si>
  <si>
    <t>Fajar Ramadhan</t>
  </si>
  <si>
    <t>BR09</t>
  </si>
  <si>
    <t>Wulan Dari</t>
  </si>
  <si>
    <t>BR10</t>
  </si>
  <si>
    <t>Hendra Gunawan</t>
  </si>
  <si>
    <t>BR11</t>
  </si>
  <si>
    <t>Putri Ayu</t>
  </si>
  <si>
    <t>BR12</t>
  </si>
  <si>
    <t>Agus Salim</t>
  </si>
  <si>
    <t>Category</t>
  </si>
  <si>
    <t>Skutik Premium</t>
  </si>
  <si>
    <t>Skutik Sport</t>
  </si>
  <si>
    <t>Skutik Entry</t>
  </si>
  <si>
    <t>Sport</t>
  </si>
  <si>
    <t>Bebek Sport</t>
  </si>
  <si>
    <t>DATA PROFILING - SALES PERFORMANCE REPORT</t>
  </si>
  <si>
    <t>Periode: 13-19 Juli 2026</t>
  </si>
  <si>
    <t>Total Baris (Sales Transaction)</t>
  </si>
  <si>
    <t>Missing - Sales Rep</t>
  </si>
  <si>
    <t>Missing - Customer Name</t>
  </si>
  <si>
    <t>Duplicate Records</t>
  </si>
  <si>
    <t>Transaksi Total Sales = 0</t>
  </si>
  <si>
    <t>Duplicate Check</t>
  </si>
  <si>
    <t>Branch Clean</t>
  </si>
  <si>
    <t>Sales Rep Clean</t>
  </si>
  <si>
    <t xml:space="preserve"> Custumer Name Clean</t>
  </si>
  <si>
    <t>Date Clean</t>
  </si>
  <si>
    <t>Date Clean 1</t>
  </si>
  <si>
    <t>Status Transaksi</t>
  </si>
  <si>
    <t>Normal</t>
  </si>
  <si>
    <t>Unknown</t>
  </si>
  <si>
    <t>Batal/Refund</t>
  </si>
  <si>
    <t xml:space="preserve">Date </t>
  </si>
  <si>
    <t xml:space="preserve"> Custumer Name </t>
  </si>
  <si>
    <t>Row Labels</t>
  </si>
  <si>
    <t>Grand Total</t>
  </si>
  <si>
    <t>Sum of Total Sales</t>
  </si>
  <si>
    <t>Achievement %</t>
  </si>
  <si>
    <t>Actual Sales per Cabang</t>
  </si>
  <si>
    <t>Sum of Qty</t>
  </si>
  <si>
    <t>Count of Transaction ID</t>
  </si>
  <si>
    <t>TOTAL REVENUE</t>
  </si>
  <si>
    <t>TOTAL UNIT TERJUAL</t>
  </si>
  <si>
    <t>AVG ACHIEVEMENT %</t>
  </si>
  <si>
    <t>SALES PERFORMANCE REPORT — MINGGU 29 (13-19 JULI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</si>
</sst>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164" fontId="1" fillId="2" borderId="0" xfId="0" applyNumberFormat="1" applyFont="1" applyFill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3" fontId="5" fillId="0" borderId="0" xfId="0" applyNumberFormat="1" applyFont="1"/>
    <xf numFmtId="10" fontId="0" fillId="0" borderId="5" xfId="0" applyNumberFormat="1" applyBorder="1"/>
    <xf numFmtId="0" fontId="6" fillId="0" borderId="0" xfId="0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2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7" fillId="0" borderId="0" xfId="0" applyFont="1"/>
    <xf numFmtId="10" fontId="7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7"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8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13809]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Actual vs Target Sales per Cabang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'Target vs Actual'!$H$3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'Target vs Actual'!$G$4:$G$15</c:f>
              <c:strCache>
                <c:ptCount val="12"/>
                <c:pt idx="0">
                  <c:v>Bandung</c:v>
                </c:pt>
                <c:pt idx="1">
                  <c:v>Bekasi</c:v>
                </c:pt>
                <c:pt idx="2">
                  <c:v>Bogor</c:v>
                </c:pt>
                <c:pt idx="3">
                  <c:v>Cibubur</c:v>
                </c:pt>
                <c:pt idx="4">
                  <c:v>Cikarang</c:v>
                </c:pt>
                <c:pt idx="5">
                  <c:v>Depok</c:v>
                </c:pt>
                <c:pt idx="6">
                  <c:v>Jakarta Selatan</c:v>
                </c:pt>
                <c:pt idx="7">
                  <c:v>Jakarta Timur</c:v>
                </c:pt>
                <c:pt idx="8">
                  <c:v>Karawang</c:v>
                </c:pt>
                <c:pt idx="9">
                  <c:v>Serang</c:v>
                </c:pt>
                <c:pt idx="10">
                  <c:v>Sukabumi</c:v>
                </c:pt>
                <c:pt idx="11">
                  <c:v>Tangerang</c:v>
                </c:pt>
              </c:strCache>
            </c:strRef>
          </c:cat>
          <c:val>
            <c:numRef>
              <c:f>'Target vs Actual'!$H$4:$H$15</c:f>
              <c:numCache>
                <c:formatCode>General</c:formatCode>
                <c:ptCount val="12"/>
                <c:pt idx="0">
                  <c:v>906597000</c:v>
                </c:pt>
                <c:pt idx="1">
                  <c:v>923721000</c:v>
                </c:pt>
                <c:pt idx="2">
                  <c:v>598845000</c:v>
                </c:pt>
                <c:pt idx="3">
                  <c:v>800267000</c:v>
                </c:pt>
                <c:pt idx="4">
                  <c:v>760218000</c:v>
                </c:pt>
                <c:pt idx="5">
                  <c:v>768832000</c:v>
                </c:pt>
                <c:pt idx="6">
                  <c:v>918489000</c:v>
                </c:pt>
                <c:pt idx="7">
                  <c:v>532139000</c:v>
                </c:pt>
                <c:pt idx="8">
                  <c:v>862042000</c:v>
                </c:pt>
                <c:pt idx="9">
                  <c:v>650659000</c:v>
                </c:pt>
                <c:pt idx="10">
                  <c:v>924626000</c:v>
                </c:pt>
                <c:pt idx="11">
                  <c:v>787054000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4-4CBF-986E-6F8D8A611811}"/>
            </c:ext>
          </c:extLst>
        </c:ser>
        <c:ser>
          <c:idx val="1"/>
          <c:order val="1"/>
          <c:tx>
            <c:strRef>
              <c:f>'Target vs Actual'!$J$3</c:f>
              <c:strCache>
                <c:ptCount val="1"/>
                <c:pt idx="0">
                  <c:v>Target 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'Target vs Actual'!$G$4:$G$15</c:f>
              <c:strCache>
                <c:ptCount val="12"/>
                <c:pt idx="0">
                  <c:v>Bandung</c:v>
                </c:pt>
                <c:pt idx="1">
                  <c:v>Bekasi</c:v>
                </c:pt>
                <c:pt idx="2">
                  <c:v>Bogor</c:v>
                </c:pt>
                <c:pt idx="3">
                  <c:v>Cibubur</c:v>
                </c:pt>
                <c:pt idx="4">
                  <c:v>Cikarang</c:v>
                </c:pt>
                <c:pt idx="5">
                  <c:v>Depok</c:v>
                </c:pt>
                <c:pt idx="6">
                  <c:v>Jakarta Selatan</c:v>
                </c:pt>
                <c:pt idx="7">
                  <c:v>Jakarta Timur</c:v>
                </c:pt>
                <c:pt idx="8">
                  <c:v>Karawang</c:v>
                </c:pt>
                <c:pt idx="9">
                  <c:v>Serang</c:v>
                </c:pt>
                <c:pt idx="10">
                  <c:v>Sukabumi</c:v>
                </c:pt>
                <c:pt idx="11">
                  <c:v>Tangerang</c:v>
                </c:pt>
              </c:strCache>
            </c:strRef>
          </c:cat>
          <c:val>
            <c:numRef>
              <c:f>'Target vs Actual'!$J$4:$J$15</c:f>
              <c:numCache>
                <c:formatCode>General</c:formatCode>
                <c:ptCount val="12"/>
                <c:pt idx="0">
                  <c:v>520000000</c:v>
                </c:pt>
                <c:pt idx="1">
                  <c:v>260000000</c:v>
                </c:pt>
                <c:pt idx="2">
                  <c:v>208000000</c:v>
                </c:pt>
                <c:pt idx="3">
                  <c:v>468000000</c:v>
                </c:pt>
                <c:pt idx="4">
                  <c:v>260000000</c:v>
                </c:pt>
                <c:pt idx="5">
                  <c:v>260000000</c:v>
                </c:pt>
                <c:pt idx="6">
                  <c:v>468000000</c:v>
                </c:pt>
                <c:pt idx="7">
                  <c:v>260000000</c:v>
                </c:pt>
                <c:pt idx="8">
                  <c:v>312000000</c:v>
                </c:pt>
                <c:pt idx="9">
                  <c:v>468000000</c:v>
                </c:pt>
                <c:pt idx="10">
                  <c:v>468000000</c:v>
                </c:pt>
                <c:pt idx="11">
                  <c:v>364000000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4-4CBF-986E-6F8D8A611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7750432"/>
        <c:axId val="664221360"/>
      </c:barChart>
      <c:catAx>
        <c:axId val="85775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21360"/>
        <c:crosses val="autoZero"/>
        <c:auto val="1"/>
        <c:lblAlgn val="ctr"/>
        <c:lblOffset val="100"/>
        <c:noMultiLvlLbl val="0"/>
      </c:catAx>
      <c:valAx>
        <c:axId val="66422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5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2000" b="1" i="0" u="none" strike="noStrike" baseline="0"/>
              <a:t>Product Performance - Revenue per Tipe Motor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Performance'!$F$3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Performance'!$E$4:$E$13</c:f>
              <c:strCache>
                <c:ptCount val="10"/>
                <c:pt idx="0">
                  <c:v>NMAX</c:v>
                </c:pt>
                <c:pt idx="1">
                  <c:v>Aerox</c:v>
                </c:pt>
                <c:pt idx="2">
                  <c:v>Lexi</c:v>
                </c:pt>
                <c:pt idx="3">
                  <c:v>Fazzio</c:v>
                </c:pt>
                <c:pt idx="4">
                  <c:v>XSR 155</c:v>
                </c:pt>
                <c:pt idx="5">
                  <c:v>MX King</c:v>
                </c:pt>
                <c:pt idx="6">
                  <c:v>Mio</c:v>
                </c:pt>
                <c:pt idx="7">
                  <c:v>Grand Filano</c:v>
                </c:pt>
                <c:pt idx="8">
                  <c:v>Gear</c:v>
                </c:pt>
                <c:pt idx="9">
                  <c:v>Freego</c:v>
                </c:pt>
              </c:strCache>
            </c:strRef>
          </c:cat>
          <c:val>
            <c:numRef>
              <c:f>'Product Performance'!$F$4:$F$13</c:f>
              <c:numCache>
                <c:formatCode>General</c:formatCode>
                <c:ptCount val="10"/>
                <c:pt idx="0">
                  <c:v>2631760000</c:v>
                </c:pt>
                <c:pt idx="1">
                  <c:v>1811542000</c:v>
                </c:pt>
                <c:pt idx="2">
                  <c:v>1025034000</c:v>
                </c:pt>
                <c:pt idx="3">
                  <c:v>691225000</c:v>
                </c:pt>
                <c:pt idx="4">
                  <c:v>683880000</c:v>
                </c:pt>
                <c:pt idx="5">
                  <c:v>652638000</c:v>
                </c:pt>
                <c:pt idx="6">
                  <c:v>574938000</c:v>
                </c:pt>
                <c:pt idx="7">
                  <c:v>475323000</c:v>
                </c:pt>
                <c:pt idx="8">
                  <c:v>471700000</c:v>
                </c:pt>
                <c:pt idx="9">
                  <c:v>415449000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6-4873-BAFA-F053086E0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667520"/>
        <c:axId val="860942992"/>
      </c:barChart>
      <c:catAx>
        <c:axId val="8436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42992"/>
        <c:crosses val="autoZero"/>
        <c:auto val="1"/>
        <c:lblAlgn val="ctr"/>
        <c:lblOffset val="100"/>
        <c:noMultiLvlLbl val="0"/>
      </c:catAx>
      <c:valAx>
        <c:axId val="86094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66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2000" b="1" i="0" u="none" strike="noStrike" baseline="0"/>
              <a:t>Sales Rep Performance - Revenue per Sales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 Performance'!$H$3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Rep Performance'!$F$4:$F$24</c:f>
              <c:strCache>
                <c:ptCount val="21"/>
                <c:pt idx="0">
                  <c:v>Lukman Hakim</c:v>
                </c:pt>
                <c:pt idx="1">
                  <c:v>Kiki Amelia</c:v>
                </c:pt>
                <c:pt idx="2">
                  <c:v>Rangga Saputra</c:v>
                </c:pt>
                <c:pt idx="3">
                  <c:v>Sari Dewi</c:v>
                </c:pt>
                <c:pt idx="4">
                  <c:v>Taufik Hidayat</c:v>
                </c:pt>
                <c:pt idx="5">
                  <c:v>Puji Lestari</c:v>
                </c:pt>
                <c:pt idx="6">
                  <c:v>Umi Kalsum</c:v>
                </c:pt>
                <c:pt idx="7">
                  <c:v>Joko Widodo S.</c:v>
                </c:pt>
                <c:pt idx="8">
                  <c:v>Indah Permata</c:v>
                </c:pt>
                <c:pt idx="9">
                  <c:v>Hadi Santoso</c:v>
                </c:pt>
                <c:pt idx="10">
                  <c:v>Fajar Nugraha</c:v>
                </c:pt>
                <c:pt idx="11">
                  <c:v>Vino Bastian G.</c:v>
                </c:pt>
                <c:pt idx="12">
                  <c:v>Oki Setiawan</c:v>
                </c:pt>
                <c:pt idx="13">
                  <c:v>Lina Marlina</c:v>
                </c:pt>
                <c:pt idx="14">
                  <c:v>Doni Saputra</c:v>
                </c:pt>
                <c:pt idx="15">
                  <c:v>Mira Anjani</c:v>
                </c:pt>
                <c:pt idx="16">
                  <c:v>Nanda Pratama</c:v>
                </c:pt>
                <c:pt idx="17">
                  <c:v>Eka Putri</c:v>
                </c:pt>
                <c:pt idx="18">
                  <c:v>Unknown</c:v>
                </c:pt>
                <c:pt idx="19">
                  <c:v>Gita Ayu</c:v>
                </c:pt>
                <c:pt idx="20">
                  <c:v>Rudi Hartono</c:v>
                </c:pt>
              </c:strCache>
            </c:strRef>
          </c:cat>
          <c:val>
            <c:numRef>
              <c:f>'Sales Rep Performance'!$H$4:$H$24</c:f>
              <c:numCache>
                <c:formatCode>General</c:formatCode>
                <c:ptCount val="21"/>
                <c:pt idx="0">
                  <c:v>668561000</c:v>
                </c:pt>
                <c:pt idx="1">
                  <c:v>566792000</c:v>
                </c:pt>
                <c:pt idx="2">
                  <c:v>554821000</c:v>
                </c:pt>
                <c:pt idx="3">
                  <c:v>538697000</c:v>
                </c:pt>
                <c:pt idx="4">
                  <c:v>524072000</c:v>
                </c:pt>
                <c:pt idx="5">
                  <c:v>522417000</c:v>
                </c:pt>
                <c:pt idx="6">
                  <c:v>507562000</c:v>
                </c:pt>
                <c:pt idx="7">
                  <c:v>490679000</c:v>
                </c:pt>
                <c:pt idx="8">
                  <c:v>478850000</c:v>
                </c:pt>
                <c:pt idx="9">
                  <c:v>466106000</c:v>
                </c:pt>
                <c:pt idx="10">
                  <c:v>453537000</c:v>
                </c:pt>
                <c:pt idx="11">
                  <c:v>451581000</c:v>
                </c:pt>
                <c:pt idx="12">
                  <c:v>444780000</c:v>
                </c:pt>
                <c:pt idx="13">
                  <c:v>417947000</c:v>
                </c:pt>
                <c:pt idx="14">
                  <c:v>391272000</c:v>
                </c:pt>
                <c:pt idx="15">
                  <c:v>360212000</c:v>
                </c:pt>
                <c:pt idx="16">
                  <c:v>339499000</c:v>
                </c:pt>
                <c:pt idx="17">
                  <c:v>339172000</c:v>
                </c:pt>
                <c:pt idx="18">
                  <c:v>331114000</c:v>
                </c:pt>
                <c:pt idx="19">
                  <c:v>324480000</c:v>
                </c:pt>
                <c:pt idx="20">
                  <c:v>261338000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3-489B-AEB8-05AABF299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627088"/>
        <c:axId val="860919472"/>
      </c:barChart>
      <c:catAx>
        <c:axId val="85362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19472"/>
        <c:crosses val="autoZero"/>
        <c:auto val="1"/>
        <c:lblAlgn val="ctr"/>
        <c:lblOffset val="100"/>
        <c:noMultiLvlLbl val="0"/>
      </c:catAx>
      <c:valAx>
        <c:axId val="8609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62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761999</xdr:colOff>
      <xdr:row>6</xdr:row>
      <xdr:rowOff>98136</xdr:rowOff>
    </xdr:from>
    <xdr:to>
      <xdr:col>11</xdr:col>
      <xdr:colOff>571499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AD4E0-3CBF-41DE-879C-30D4860DA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730250</xdr:colOff>
      <xdr:row>26</xdr:row>
      <xdr:rowOff>95249</xdr:rowOff>
    </xdr:from>
    <xdr:to>
      <xdr:col>12</xdr:col>
      <xdr:colOff>-1</xdr:colOff>
      <xdr:row>47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AFEDA1-EBBB-48D6-91D2-6B05896B4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126999</xdr:colOff>
      <xdr:row>10</xdr:row>
      <xdr:rowOff>15874</xdr:rowOff>
    </xdr:from>
    <xdr:to>
      <xdr:col>29</xdr:col>
      <xdr:colOff>380999</xdr:colOff>
      <xdr:row>37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7E4225-C87D-496E-B19D-D41BB51A6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farid" refreshedDate="46221.544742361111" createdVersion="8" refreshedVersion="8" minRefreshableVersion="3" recordCount="341" xr:uid="{F81EFB00-41CB-44B9-A4C0-1FC1A997678F}">
  <cacheSource type="worksheet">
    <worksheetSource name="Table1"/>
  </cacheSource>
  <cacheFields count="15">
    <cacheField name="Transaction ID" numFmtId="0">
      <sharedItems/>
    </cacheField>
    <cacheField name="Date " numFmtId="164">
      <sharedItems containsSemiMixedTypes="0" containsNonDate="0" containsDate="1" containsString="0" minDate="2026-07-13T00:00:00" maxDate="2026-07-20T00:00:00"/>
    </cacheField>
    <cacheField name="Branch" numFmtId="0">
      <sharedItems count="12">
        <s v="Cibubur"/>
        <s v="Sukabumi"/>
        <s v="Depok"/>
        <s v="Jakarta Selatan"/>
        <s v="Bogor"/>
        <s v="Bandung"/>
        <s v="Bekasi"/>
        <s v="Karawang"/>
        <s v="Serang"/>
        <s v="Jakarta Timur"/>
        <s v="Cikarang"/>
        <s v="Tangerang"/>
      </sharedItems>
    </cacheField>
    <cacheField name="Sales Rep" numFmtId="0">
      <sharedItems count="21">
        <s v="Taufik Hidayat"/>
        <s v="Vino Bastian G."/>
        <s v="Joko Widodo S."/>
        <s v="Lina Marlina"/>
        <s v="Fajar Nugraha"/>
        <s v="Hadi Santoso"/>
        <s v="Lukman Hakim"/>
        <s v="Puji Lestari"/>
        <s v="Sari Dewi"/>
        <s v="Eka Putri"/>
        <s v="Kiki Amelia"/>
        <s v="Gita Ayu"/>
        <s v="Rangga Saputra"/>
        <s v="Oki Setiawan"/>
        <s v="Indah Permata"/>
        <s v="Doni Saputra"/>
        <s v="Umi Kalsum"/>
        <s v="Mira Anjani"/>
        <s v="Nanda Pratama"/>
        <s v="Unknown"/>
        <s v="Rudi Hartono"/>
      </sharedItems>
    </cacheField>
    <cacheField name=" Custumer Name " numFmtId="0">
      <sharedItems/>
    </cacheField>
    <cacheField name="Product Code" numFmtId="0">
      <sharedItems/>
    </cacheField>
    <cacheField name="Product Name" numFmtId="0">
      <sharedItems count="10">
        <s v="NMAX"/>
        <s v="Freego"/>
        <s v="MX King"/>
        <s v="XSR 155"/>
        <s v="Gear"/>
        <s v="Grand Filano"/>
        <s v="Aerox"/>
        <s v="Fazzio"/>
        <s v="Mio"/>
        <s v="Lexi"/>
      </sharedItems>
    </cacheField>
    <cacheField name="Qty" numFmtId="0">
      <sharedItems containsSemiMixedTypes="0" containsString="0" containsNumber="1" containsInteger="1" minValue="1" maxValue="2"/>
    </cacheField>
    <cacheField name="Unit Price" numFmtId="0">
      <sharedItems containsSemiMixedTypes="0" containsString="0" containsNumber="1" containsInteger="1" minValue="17800000" maxValue="41000000"/>
    </cacheField>
    <cacheField name="Discount" numFmtId="0">
      <sharedItems containsSemiMixedTypes="0" containsString="0" containsNumber="1" containsInteger="1" minValue="0" maxValue="4100000"/>
    </cacheField>
    <cacheField name="Total Sales" numFmtId="0">
      <sharedItems containsSemiMixedTypes="0" containsString="0" containsNumber="1" containsInteger="1" minValue="0" maxValue="77900000"/>
    </cacheField>
    <cacheField name="Status Transaksi" numFmtId="0">
      <sharedItems count="2">
        <s v="Normal"/>
        <s v="Batal/Refund"/>
      </sharedItems>
    </cacheField>
    <cacheField name="Payment Method" numFmtId="0">
      <sharedItems/>
    </cacheField>
    <cacheField name="Payment Status" numFmtId="0">
      <sharedItems/>
    </cacheField>
    <cacheField name="Chann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s v="TRX-1086"/>
    <d v="2026-07-14T00:00:00"/>
    <x v="0"/>
    <x v="0"/>
    <s v="Galih Ramadhan"/>
    <s v="P001"/>
    <x v="0"/>
    <n v="1"/>
    <n v="33500000"/>
    <n v="1675000"/>
    <n v="31825000"/>
    <x v="0"/>
    <s v="Kredit - Mandiri Tunas"/>
    <s v="Lunas"/>
    <s v="Pameran"/>
  </r>
  <r>
    <s v="TRX-1192"/>
    <d v="2026-07-16T00:00:00"/>
    <x v="1"/>
    <x v="1"/>
    <s v="Made Ramadhan"/>
    <s v="P001"/>
    <x v="0"/>
    <n v="1"/>
    <n v="33500000"/>
    <n v="1005000"/>
    <n v="32495000"/>
    <x v="0"/>
    <s v="Debit/Transfer"/>
    <s v="Lunas"/>
    <s v="Online - Website"/>
  </r>
  <r>
    <s v="TRX-1108"/>
    <d v="2026-07-15T00:00:00"/>
    <x v="2"/>
    <x v="2"/>
    <s v="Putra Hidayat"/>
    <s v="P010"/>
    <x v="1"/>
    <n v="1"/>
    <n v="22300000"/>
    <n v="669000"/>
    <n v="21631000"/>
    <x v="0"/>
    <s v="Cash"/>
    <s v="Lunas"/>
    <s v="Referral"/>
  </r>
  <r>
    <s v="TRX-1106"/>
    <d v="2026-07-15T00:00:00"/>
    <x v="2"/>
    <x v="3"/>
    <s v="Hana Anggraini"/>
    <s v="P008"/>
    <x v="2"/>
    <n v="1"/>
    <n v="24600000"/>
    <n v="0"/>
    <n v="24600000"/>
    <x v="0"/>
    <s v="Kredit - Adira"/>
    <s v="Lunas"/>
    <s v="Online - Website"/>
  </r>
  <r>
    <s v="TRX-1124"/>
    <d v="2026-07-15T00:00:00"/>
    <x v="3"/>
    <x v="4"/>
    <s v="Putra Saputra"/>
    <s v="P007"/>
    <x v="3"/>
    <n v="1"/>
    <n v="41000000"/>
    <n v="0"/>
    <n v="41000000"/>
    <x v="0"/>
    <s v="Debit/Transfer"/>
    <s v="Lunas"/>
    <s v="Online - Website"/>
  </r>
  <r>
    <s v="TRX-1094"/>
    <d v="2026-07-14T00:00:00"/>
    <x v="1"/>
    <x v="5"/>
    <s v="Galih Kusuma"/>
    <s v="P001"/>
    <x v="0"/>
    <n v="1"/>
    <n v="33500000"/>
    <n v="1005000"/>
    <n v="32495000"/>
    <x v="0"/>
    <s v="Cash"/>
    <s v="Lunas"/>
    <s v="Pameran"/>
  </r>
  <r>
    <s v="TRX-1115"/>
    <d v="2026-07-15T00:00:00"/>
    <x v="4"/>
    <x v="6"/>
    <s v="Lala Firmansyah"/>
    <s v="P006"/>
    <x v="4"/>
    <n v="1"/>
    <n v="17800000"/>
    <n v="534000"/>
    <n v="17266000"/>
    <x v="0"/>
    <s v="Kredit - Mandiri Tunas"/>
    <s v="Lunas"/>
    <s v="Online - Website"/>
  </r>
  <r>
    <s v="TRX-1012"/>
    <d v="2026-07-13T00:00:00"/>
    <x v="5"/>
    <x v="7"/>
    <s v="Oscar Wijaya"/>
    <s v="P006"/>
    <x v="4"/>
    <n v="1"/>
    <n v="17800000"/>
    <n v="890000"/>
    <n v="16910000"/>
    <x v="0"/>
    <s v="Debit/Transfer"/>
    <s v="Lunas"/>
    <s v="Online - Website"/>
  </r>
  <r>
    <s v="TRX-1148"/>
    <d v="2026-07-16T00:00:00"/>
    <x v="6"/>
    <x v="8"/>
    <s v="Made Wijaya"/>
    <s v="P001"/>
    <x v="0"/>
    <n v="1"/>
    <n v="33500000"/>
    <n v="670000"/>
    <n v="32830000"/>
    <x v="0"/>
    <s v="Cash"/>
    <s v="Lunas"/>
    <s v="Referral"/>
  </r>
  <r>
    <s v="TRX-1213"/>
    <d v="2026-07-17T00:00:00"/>
    <x v="2"/>
    <x v="9"/>
    <s v="Ahmad Hidayat"/>
    <s v="P001"/>
    <x v="0"/>
    <n v="1"/>
    <n v="33500000"/>
    <n v="335000"/>
    <n v="33165000"/>
    <x v="0"/>
    <s v="Kredit - FIF"/>
    <s v="Lunas"/>
    <s v="Showroom"/>
  </r>
  <r>
    <s v="TRX-1340"/>
    <d v="2026-07-19T00:00:00"/>
    <x v="0"/>
    <x v="10"/>
    <s v="Eko Kusuma"/>
    <s v="P007"/>
    <x v="3"/>
    <n v="1"/>
    <n v="41000000"/>
    <n v="0"/>
    <n v="41000000"/>
    <x v="0"/>
    <s v="Debit/Transfer"/>
    <s v="DP"/>
    <s v="Pameran"/>
  </r>
  <r>
    <s v="TRX-1132"/>
    <d v="2026-07-15T00:00:00"/>
    <x v="7"/>
    <x v="10"/>
    <s v="Citra Ramadhan"/>
    <s v="P001"/>
    <x v="0"/>
    <n v="1"/>
    <n v="33500000"/>
    <n v="1005000"/>
    <n v="32495000"/>
    <x v="0"/>
    <s v="Debit/Transfer"/>
    <s v="Proses Kredit"/>
    <s v="Referral"/>
  </r>
  <r>
    <s v="TRX-1147"/>
    <d v="2026-07-16T00:00:00"/>
    <x v="6"/>
    <x v="5"/>
    <s v="Kevin Kusuma"/>
    <s v="P009"/>
    <x v="5"/>
    <n v="1"/>
    <n v="26900000"/>
    <n v="807000"/>
    <n v="26093000"/>
    <x v="0"/>
    <s v="Kredit - FIF"/>
    <s v="Lunas"/>
    <s v="Online - Website"/>
  </r>
  <r>
    <s v="TRX-1126"/>
    <d v="2026-07-15T00:00:00"/>
    <x v="3"/>
    <x v="11"/>
    <s v="Eko Ramadhan"/>
    <s v="P001"/>
    <x v="0"/>
    <n v="1"/>
    <n v="33500000"/>
    <n v="1005000"/>
    <n v="32495000"/>
    <x v="0"/>
    <s v="Kredit - FIF"/>
    <s v="DP"/>
    <s v="Online - Website"/>
  </r>
  <r>
    <s v="TRX-1066"/>
    <d v="2026-07-14T00:00:00"/>
    <x v="8"/>
    <x v="12"/>
    <s v="Made Ramadhan"/>
    <s v="P002"/>
    <x v="6"/>
    <n v="1"/>
    <n v="29800000"/>
    <n v="0"/>
    <n v="29800000"/>
    <x v="0"/>
    <s v="Kredit - Mandiri Tunas"/>
    <s v="Lunas"/>
    <s v="Showroom"/>
  </r>
  <r>
    <s v="TRX-1289"/>
    <d v="2026-07-18T00:00:00"/>
    <x v="0"/>
    <x v="0"/>
    <s v="Qori Lestari"/>
    <s v="P005"/>
    <x v="7"/>
    <n v="1"/>
    <n v="21500000"/>
    <n v="645000"/>
    <n v="20855000"/>
    <x v="0"/>
    <s v="Kredit - Mandiri Tunas"/>
    <s v="Lunas"/>
    <s v="Pameran"/>
  </r>
  <r>
    <s v="TRX-1005"/>
    <d v="2026-07-13T00:00:00"/>
    <x v="6"/>
    <x v="11"/>
    <s v="Hana Kusuma"/>
    <s v="P006"/>
    <x v="4"/>
    <n v="1"/>
    <n v="17800000"/>
    <n v="0"/>
    <n v="17800000"/>
    <x v="0"/>
    <s v="Cash"/>
    <s v="Lunas"/>
    <s v="Online - Website"/>
  </r>
  <r>
    <s v="TRX-1068"/>
    <d v="2026-07-14T00:00:00"/>
    <x v="9"/>
    <x v="6"/>
    <s v="Rendi Ramadhan"/>
    <s v="P002"/>
    <x v="6"/>
    <n v="1"/>
    <n v="29800000"/>
    <n v="1490000"/>
    <n v="28310000"/>
    <x v="0"/>
    <s v="Cash"/>
    <s v="Lunas"/>
    <s v="Showroom"/>
  </r>
  <r>
    <s v="TRX-1237"/>
    <d v="2026-07-17T00:00:00"/>
    <x v="0"/>
    <x v="6"/>
    <s v="Irfan Pratama"/>
    <s v="P005"/>
    <x v="7"/>
    <n v="2"/>
    <n v="21500000"/>
    <n v="2150000"/>
    <n v="40850000"/>
    <x v="0"/>
    <s v="Cash"/>
    <s v="Lunas"/>
    <s v="Showroom"/>
  </r>
  <r>
    <s v="TRX-1074"/>
    <d v="2026-07-14T00:00:00"/>
    <x v="3"/>
    <x v="3"/>
    <s v="Eko Wijaya"/>
    <s v="P009"/>
    <x v="5"/>
    <n v="1"/>
    <n v="26900000"/>
    <n v="269000"/>
    <n v="26631000"/>
    <x v="0"/>
    <s v="Debit/Transfer"/>
    <s v="Lunas"/>
    <s v="Referral"/>
  </r>
  <r>
    <s v="TRX-1121"/>
    <d v="2026-07-15T00:00:00"/>
    <x v="8"/>
    <x v="3"/>
    <s v="Oscar Hidayat"/>
    <s v="P007"/>
    <x v="3"/>
    <n v="1"/>
    <n v="41000000"/>
    <n v="820000"/>
    <n v="40180000"/>
    <x v="0"/>
    <s v="Kredit - Adira"/>
    <s v="Lunas"/>
    <s v="Referral"/>
  </r>
  <r>
    <s v="TRX-1207"/>
    <d v="2026-07-17T00:00:00"/>
    <x v="6"/>
    <x v="4"/>
    <s v="Citra Pratama"/>
    <s v="P005"/>
    <x v="7"/>
    <n v="1"/>
    <n v="21500000"/>
    <n v="430000"/>
    <n v="21070000"/>
    <x v="0"/>
    <s v="Cash"/>
    <s v="Lunas"/>
    <s v="Referral"/>
  </r>
  <r>
    <s v="TRX-1155"/>
    <d v="2026-07-16T00:00:00"/>
    <x v="5"/>
    <x v="13"/>
    <s v="Made Anggraini"/>
    <s v="P002"/>
    <x v="6"/>
    <n v="1"/>
    <n v="29800000"/>
    <n v="0"/>
    <n v="29800000"/>
    <x v="0"/>
    <s v="Cash"/>
    <s v="DP"/>
    <s v="Online - Website"/>
  </r>
  <r>
    <s v="TRX-1271"/>
    <d v="2026-07-18T00:00:00"/>
    <x v="9"/>
    <x v="12"/>
    <s v="Putra Hidayat"/>
    <s v="P002"/>
    <x v="6"/>
    <n v="1"/>
    <n v="29800000"/>
    <n v="0"/>
    <n v="29800000"/>
    <x v="0"/>
    <s v="Debit/Transfer"/>
    <s v="Lunas"/>
    <s v="Pameran"/>
  </r>
  <r>
    <s v="TRX-1007"/>
    <d v="2026-07-13T00:00:00"/>
    <x v="6"/>
    <x v="14"/>
    <s v="Eko Firmansyah"/>
    <s v="P006"/>
    <x v="4"/>
    <n v="1"/>
    <n v="17800000"/>
    <n v="534000"/>
    <n v="17266000"/>
    <x v="0"/>
    <s v="Kredit - Mandiri Tunas"/>
    <s v="Lunas"/>
    <s v="Showroom"/>
  </r>
  <r>
    <s v="TRX-1209"/>
    <d v="2026-07-17T00:00:00"/>
    <x v="6"/>
    <x v="0"/>
    <s v="Putra Wijaya"/>
    <s v="P001"/>
    <x v="0"/>
    <n v="1"/>
    <n v="33500000"/>
    <n v="1005000"/>
    <n v="32495000"/>
    <x v="0"/>
    <s v="Kredit - Mandiri Tunas"/>
    <s v="Lunas"/>
    <s v="Referral"/>
  </r>
  <r>
    <s v="TRX-1172"/>
    <d v="2026-07-16T00:00:00"/>
    <x v="8"/>
    <x v="6"/>
    <s v="Dewi Firmansyah"/>
    <s v="P006"/>
    <x v="4"/>
    <n v="1"/>
    <n v="17800000"/>
    <n v="356000"/>
    <n v="17444000"/>
    <x v="0"/>
    <s v="Kredit - Mandiri Tunas"/>
    <s v="Lunas"/>
    <s v="Referral"/>
  </r>
  <r>
    <s v="TRX-1270"/>
    <d v="2026-07-18T00:00:00"/>
    <x v="9"/>
    <x v="9"/>
    <s v="Tono Wijaya"/>
    <s v="P002"/>
    <x v="6"/>
    <n v="1"/>
    <n v="29800000"/>
    <n v="0"/>
    <n v="29800000"/>
    <x v="0"/>
    <s v="Kredit - FIF"/>
    <s v="Lunas"/>
    <s v="Online - Website"/>
  </r>
  <r>
    <s v="TRX-1335"/>
    <d v="2026-07-19T00:00:00"/>
    <x v="7"/>
    <x v="6"/>
    <s v="Putra Ramadhan"/>
    <s v="P004"/>
    <x v="8"/>
    <n v="1"/>
    <n v="18900000"/>
    <n v="378000"/>
    <n v="18522000"/>
    <x v="0"/>
    <s v="Kredit - FIF"/>
    <s v="Lunas"/>
    <s v="Pameran"/>
  </r>
  <r>
    <s v="TRX-1091"/>
    <d v="2026-07-14T00:00:00"/>
    <x v="1"/>
    <x v="15"/>
    <s v="Ahmad Wijaya"/>
    <s v="P001"/>
    <x v="0"/>
    <n v="1"/>
    <n v="33500000"/>
    <n v="1005000"/>
    <n v="32495000"/>
    <x v="0"/>
    <s v="Kredit - Mandiri Tunas"/>
    <s v="Lunas"/>
    <s v="Referral"/>
  </r>
  <r>
    <s v="TRX-1060"/>
    <d v="2026-07-14T00:00:00"/>
    <x v="10"/>
    <x v="0"/>
    <s v="Citra Hidayat"/>
    <s v="P006"/>
    <x v="4"/>
    <n v="1"/>
    <n v="17800000"/>
    <n v="356000"/>
    <n v="17444000"/>
    <x v="0"/>
    <s v="Debit/Transfer"/>
    <s v="Lunas"/>
    <s v="Showroom"/>
  </r>
  <r>
    <s v="TRX-1259"/>
    <d v="2026-07-18T00:00:00"/>
    <x v="10"/>
    <x v="5"/>
    <s v="Hana Firmansyah"/>
    <s v="P003"/>
    <x v="9"/>
    <n v="1"/>
    <n v="27400000"/>
    <n v="1370000"/>
    <n v="26030000"/>
    <x v="0"/>
    <s v="Debit/Transfer"/>
    <s v="Lunas"/>
    <s v="Referral"/>
  </r>
  <r>
    <s v="TRX-1140"/>
    <d v="2026-07-16T00:00:00"/>
    <x v="11"/>
    <x v="7"/>
    <s v="Kevin Firmansyah"/>
    <s v="P005"/>
    <x v="7"/>
    <n v="1"/>
    <n v="21500000"/>
    <n v="215000"/>
    <n v="21285000"/>
    <x v="0"/>
    <s v="Kredit - Adira"/>
    <s v="Lunas"/>
    <s v="Online - Website"/>
  </r>
  <r>
    <s v="TRX-1224"/>
    <d v="2026-07-17T00:00:00"/>
    <x v="10"/>
    <x v="2"/>
    <s v="Fitri Saputra"/>
    <s v="P010"/>
    <x v="1"/>
    <n v="1"/>
    <n v="22300000"/>
    <n v="0"/>
    <n v="22300000"/>
    <x v="0"/>
    <s v="Debit/Transfer"/>
    <s v="DP"/>
    <s v="Online - Website"/>
  </r>
  <r>
    <s v="TRX-1120"/>
    <d v="2026-07-15T00:00:00"/>
    <x v="8"/>
    <x v="11"/>
    <s v="Eko Maharani"/>
    <s v="P001"/>
    <x v="0"/>
    <n v="1"/>
    <n v="33500000"/>
    <n v="670000"/>
    <n v="32830000"/>
    <x v="0"/>
    <s v="Cash"/>
    <s v="Lunas"/>
    <s v="Online - Website"/>
  </r>
  <r>
    <s v="TRX-1247"/>
    <d v="2026-07-18T00:00:00"/>
    <x v="2"/>
    <x v="8"/>
    <s v="Dewi Ramadhan"/>
    <s v="P009"/>
    <x v="5"/>
    <n v="1"/>
    <n v="26900000"/>
    <n v="1345000"/>
    <n v="25555000"/>
    <x v="0"/>
    <s v="Cash"/>
    <s v="Lunas"/>
    <s v="Showroom"/>
  </r>
  <r>
    <s v="TRX-1019"/>
    <d v="2026-07-13T00:00:00"/>
    <x v="3"/>
    <x v="16"/>
    <s v="Kevin Lestari"/>
    <s v="P004"/>
    <x v="8"/>
    <n v="1"/>
    <n v="18900000"/>
    <n v="0"/>
    <n v="18900000"/>
    <x v="0"/>
    <s v="Kredit - Adira"/>
    <s v="Lunas"/>
    <s v="Referral"/>
  </r>
  <r>
    <s v="TRX-1324"/>
    <d v="2026-07-19T00:00:00"/>
    <x v="10"/>
    <x v="17"/>
    <s v="Budi Ramadhan"/>
    <s v="P009"/>
    <x v="5"/>
    <n v="1"/>
    <n v="26900000"/>
    <n v="0"/>
    <n v="26900000"/>
    <x v="0"/>
    <s v="Kredit - FIF"/>
    <s v="Lunas"/>
    <s v="Showroom"/>
  </r>
  <r>
    <s v="TRX-1310"/>
    <d v="2026-07-19T00:00:00"/>
    <x v="5"/>
    <x v="17"/>
    <s v="Oscar Saputra"/>
    <s v="P002"/>
    <x v="6"/>
    <n v="1"/>
    <n v="29800000"/>
    <n v="0"/>
    <n v="29800000"/>
    <x v="0"/>
    <s v="Debit/Transfer"/>
    <s v="Lunas"/>
    <s v="Referral"/>
  </r>
  <r>
    <s v="TRX-1208"/>
    <d v="2026-07-17T00:00:00"/>
    <x v="6"/>
    <x v="10"/>
    <s v="Hana Anggraini"/>
    <s v="P001"/>
    <x v="0"/>
    <n v="1"/>
    <n v="33500000"/>
    <n v="0"/>
    <n v="33500000"/>
    <x v="0"/>
    <s v="Kredit - FIF"/>
    <s v="Lunas"/>
    <s v="Referral"/>
  </r>
  <r>
    <s v="TRX-1090"/>
    <d v="2026-07-14T00:00:00"/>
    <x v="1"/>
    <x v="0"/>
    <s v="Irfan Saputra"/>
    <s v="P008"/>
    <x v="2"/>
    <n v="1"/>
    <n v="24600000"/>
    <n v="738000"/>
    <n v="23862000"/>
    <x v="0"/>
    <s v="Kredit - FIF"/>
    <s v="Lunas"/>
    <s v="Referral"/>
  </r>
  <r>
    <s v="TRX-1291"/>
    <d v="2026-07-18T00:00:00"/>
    <x v="1"/>
    <x v="10"/>
    <s v="Citra Kusuma"/>
    <s v="P004"/>
    <x v="8"/>
    <n v="1"/>
    <n v="18900000"/>
    <n v="945000"/>
    <n v="17955000"/>
    <x v="0"/>
    <s v="Kredit - Mandiri Tunas"/>
    <s v="Lunas"/>
    <s v="Showroom"/>
  </r>
  <r>
    <s v="TRX-1328"/>
    <d v="2026-07-19T00:00:00"/>
    <x v="3"/>
    <x v="0"/>
    <s v="Siska Lestari"/>
    <s v="P002"/>
    <x v="6"/>
    <n v="1"/>
    <n v="29800000"/>
    <n v="894000"/>
    <n v="28906000"/>
    <x v="0"/>
    <s v="Kredit - Adira"/>
    <s v="Proses Kredit"/>
    <s v="Referral"/>
  </r>
  <r>
    <s v="TRX-1186"/>
    <d v="2026-07-16T00:00:00"/>
    <x v="7"/>
    <x v="8"/>
    <s v="Ahmad Anggraini"/>
    <s v="P002"/>
    <x v="6"/>
    <n v="1"/>
    <n v="29800000"/>
    <n v="1490000"/>
    <n v="28310000"/>
    <x v="0"/>
    <s v="Cash"/>
    <s v="Lunas"/>
    <s v="Online - Website"/>
  </r>
  <r>
    <s v="TRX-1163"/>
    <d v="2026-07-16T00:00:00"/>
    <x v="4"/>
    <x v="0"/>
    <s v="Galih Hidayat"/>
    <s v="P008"/>
    <x v="2"/>
    <n v="1"/>
    <n v="24600000"/>
    <n v="738000"/>
    <n v="23862000"/>
    <x v="0"/>
    <s v="Kredit - Adira"/>
    <s v="DP"/>
    <s v="Showroom"/>
  </r>
  <r>
    <s v="TRX-1133"/>
    <d v="2026-07-15T00:00:00"/>
    <x v="7"/>
    <x v="12"/>
    <s v="Ahmad Wijaya"/>
    <s v="P001"/>
    <x v="0"/>
    <n v="1"/>
    <n v="33500000"/>
    <n v="1005000"/>
    <n v="32495000"/>
    <x v="0"/>
    <s v="Kredit - Mandiri Tunas"/>
    <s v="DP"/>
    <s v="Referral"/>
  </r>
  <r>
    <s v="TRX-1250"/>
    <d v="2026-07-18T00:00:00"/>
    <x v="5"/>
    <x v="14"/>
    <s v="Oscar Hidayat"/>
    <s v="P002"/>
    <x v="6"/>
    <n v="1"/>
    <n v="29800000"/>
    <n v="1490000"/>
    <n v="28310000"/>
    <x v="0"/>
    <s v="Kredit - Adira"/>
    <s v="Lunas"/>
    <s v="Pameran"/>
  </r>
  <r>
    <s v="TRX-1096"/>
    <d v="2026-07-15T00:00:00"/>
    <x v="11"/>
    <x v="6"/>
    <s v="Tono Anggraini"/>
    <s v="P006"/>
    <x v="4"/>
    <n v="1"/>
    <n v="17800000"/>
    <n v="0"/>
    <n v="17800000"/>
    <x v="0"/>
    <s v="Cash"/>
    <s v="DP"/>
    <s v="Online - Website"/>
  </r>
  <r>
    <s v="TRX-1081"/>
    <d v="2026-07-14T00:00:00"/>
    <x v="7"/>
    <x v="5"/>
    <s v="Hana Hidayat"/>
    <s v="P007"/>
    <x v="3"/>
    <n v="1"/>
    <n v="41000000"/>
    <n v="1230000"/>
    <n v="39770000"/>
    <x v="0"/>
    <s v="Cash"/>
    <s v="Lunas"/>
    <s v="Referral"/>
  </r>
  <r>
    <s v="TRX-1245"/>
    <d v="2026-07-18T00:00:00"/>
    <x v="6"/>
    <x v="16"/>
    <s v="Siska Maharani"/>
    <s v="P001"/>
    <x v="0"/>
    <n v="1"/>
    <n v="33500000"/>
    <n v="1675000"/>
    <n v="31825000"/>
    <x v="0"/>
    <s v="Kredit - Adira"/>
    <s v="DP"/>
    <s v="Online - Website"/>
  </r>
  <r>
    <s v="TRX-1168"/>
    <d v="2026-07-16T00:00:00"/>
    <x v="8"/>
    <x v="14"/>
    <s v="Eko Saputra"/>
    <s v="P009"/>
    <x v="5"/>
    <n v="1"/>
    <n v="26900000"/>
    <n v="0"/>
    <n v="26900000"/>
    <x v="0"/>
    <s v="Debit/Transfer"/>
    <s v="Lunas"/>
    <s v="Pameran"/>
  </r>
  <r>
    <s v="TRX-1258"/>
    <d v="2026-07-18T00:00:00"/>
    <x v="4"/>
    <x v="1"/>
    <s v="Kevin Kusuma"/>
    <s v="P004"/>
    <x v="8"/>
    <n v="1"/>
    <n v="18900000"/>
    <n v="0"/>
    <n v="18900000"/>
    <x v="0"/>
    <s v="Kredit - FIF"/>
    <s v="Lunas"/>
    <s v="Pameran"/>
  </r>
  <r>
    <s v="TRX-1337"/>
    <d v="2026-07-19T00:00:00"/>
    <x v="0"/>
    <x v="6"/>
    <s v="Jihan Lestari"/>
    <s v="P004"/>
    <x v="8"/>
    <n v="2"/>
    <n v="18900000"/>
    <n v="1890000"/>
    <n v="35910000"/>
    <x v="0"/>
    <s v="Cash"/>
    <s v="Lunas"/>
    <s v="Online - Website"/>
  </r>
  <r>
    <s v="TRX-1107"/>
    <d v="2026-07-15T00:00:00"/>
    <x v="2"/>
    <x v="5"/>
    <s v="Siska Anggraini"/>
    <s v="P002"/>
    <x v="6"/>
    <n v="1"/>
    <n v="29800000"/>
    <n v="596000"/>
    <n v="29204000"/>
    <x v="0"/>
    <s v="Debit/Transfer"/>
    <s v="Lunas"/>
    <s v="Pameran"/>
  </r>
  <r>
    <s v="TRX-1225"/>
    <d v="2026-07-17T00:00:00"/>
    <x v="9"/>
    <x v="18"/>
    <s v="Citra Maharani"/>
    <s v="P001"/>
    <x v="0"/>
    <n v="1"/>
    <n v="33500000"/>
    <n v="0"/>
    <n v="33500000"/>
    <x v="0"/>
    <s v="Kredit - Adira"/>
    <s v="DP"/>
    <s v="Pameran"/>
  </r>
  <r>
    <s v="TRX-1325"/>
    <d v="2026-07-19T00:00:00"/>
    <x v="8"/>
    <x v="3"/>
    <s v="Qori Firmansyah"/>
    <s v="P001"/>
    <x v="0"/>
    <n v="1"/>
    <n v="33500000"/>
    <n v="1005000"/>
    <n v="32495000"/>
    <x v="0"/>
    <s v="Kredit - FIF"/>
    <s v="Lunas"/>
    <s v="Online - Website"/>
  </r>
  <r>
    <s v="TRX-1151"/>
    <d v="2026-07-16T00:00:00"/>
    <x v="2"/>
    <x v="5"/>
    <s v="Tono Wijaya"/>
    <s v="P006"/>
    <x v="4"/>
    <n v="1"/>
    <n v="17800000"/>
    <n v="534000"/>
    <n v="17266000"/>
    <x v="0"/>
    <s v="Cash"/>
    <s v="Lunas"/>
    <s v="Showroom"/>
  </r>
  <r>
    <s v="TRX-1305"/>
    <d v="2026-07-19T00:00:00"/>
    <x v="2"/>
    <x v="17"/>
    <s v="Kevin Anggraini"/>
    <s v="P007"/>
    <x v="3"/>
    <n v="1"/>
    <n v="41000000"/>
    <n v="2050000"/>
    <n v="38950000"/>
    <x v="0"/>
    <s v="Kredit - Mandiri Tunas"/>
    <s v="Lunas"/>
    <s v="Showroom"/>
  </r>
  <r>
    <s v="TRX-1269"/>
    <d v="2026-07-18T00:00:00"/>
    <x v="8"/>
    <x v="0"/>
    <s v="Eko Pratama"/>
    <s v="P001"/>
    <x v="0"/>
    <n v="1"/>
    <n v="33500000"/>
    <n v="670000"/>
    <n v="32830000"/>
    <x v="0"/>
    <s v="Kredit - Mandiri Tunas"/>
    <s v="Lunas"/>
    <s v="Showroom"/>
  </r>
  <r>
    <s v="TRX-1202"/>
    <d v="2026-07-17T00:00:00"/>
    <x v="11"/>
    <x v="19"/>
    <s v="Fitri Anggraini"/>
    <s v="P007"/>
    <x v="3"/>
    <n v="1"/>
    <n v="41000000"/>
    <n v="0"/>
    <n v="41000000"/>
    <x v="0"/>
    <s v="Kredit - FIF"/>
    <s v="Proses Kredit"/>
    <s v="Online - Website"/>
  </r>
  <r>
    <s v="TRX-1013"/>
    <d v="2026-07-13T00:00:00"/>
    <x v="5"/>
    <x v="14"/>
    <s v="Budi Hidayat"/>
    <s v="P005"/>
    <x v="7"/>
    <n v="1"/>
    <n v="21500000"/>
    <n v="1075000"/>
    <n v="20425000"/>
    <x v="0"/>
    <s v="Kredit - Adira"/>
    <s v="Lunas"/>
    <s v="Online - Website"/>
  </r>
  <r>
    <s v="TRX-1200"/>
    <d v="2026-07-17T00:00:00"/>
    <x v="11"/>
    <x v="17"/>
    <s v="Putra Hidayat"/>
    <s v="P003"/>
    <x v="9"/>
    <n v="1"/>
    <n v="27400000"/>
    <n v="1370000"/>
    <n v="26030000"/>
    <x v="0"/>
    <s v="Kredit - Mandiri Tunas"/>
    <s v="DP"/>
    <s v="Referral"/>
  </r>
  <r>
    <s v="TRX-1028"/>
    <d v="2026-07-13T00:00:00"/>
    <x v="0"/>
    <x v="2"/>
    <s v="Tono Ramadhan"/>
    <s v="P001"/>
    <x v="0"/>
    <n v="2"/>
    <n v="33500000"/>
    <n v="0"/>
    <n v="67000000"/>
    <x v="0"/>
    <s v="Debit/Transfer"/>
    <s v="Lunas"/>
    <s v="Showroom"/>
  </r>
  <r>
    <s v="TRX-1103"/>
    <d v="2026-07-15T00:00:00"/>
    <x v="6"/>
    <x v="1"/>
    <s v="Kevin Wijaya"/>
    <s v="P002"/>
    <x v="6"/>
    <n v="1"/>
    <n v="29800000"/>
    <n v="596000"/>
    <n v="29204000"/>
    <x v="0"/>
    <s v="Kredit - Mandiri Tunas"/>
    <s v="Lunas"/>
    <s v="Online - Website"/>
  </r>
  <r>
    <s v="TRX-1130"/>
    <d v="2026-07-15T00:00:00"/>
    <x v="7"/>
    <x v="6"/>
    <s v="Lala Ramadhan"/>
    <s v="P004"/>
    <x v="8"/>
    <n v="1"/>
    <n v="18900000"/>
    <n v="567000"/>
    <n v="18333000"/>
    <x v="0"/>
    <s v="Cash"/>
    <s v="Lunas"/>
    <s v="Referral"/>
  </r>
  <r>
    <s v="TRX-1093"/>
    <d v="2026-07-14T00:00:00"/>
    <x v="1"/>
    <x v="5"/>
    <s v="Dewi Hidayat"/>
    <s v="P005"/>
    <x v="7"/>
    <n v="1"/>
    <n v="21500000"/>
    <n v="430000"/>
    <n v="21070000"/>
    <x v="0"/>
    <s v="Kredit - Mandiri Tunas"/>
    <s v="Lunas"/>
    <s v="Referral"/>
  </r>
  <r>
    <s v="TRX-1030"/>
    <d v="2026-07-13T00:00:00"/>
    <x v="1"/>
    <x v="6"/>
    <s v="Jihan Firmansyah"/>
    <s v="P006"/>
    <x v="4"/>
    <n v="1"/>
    <n v="17800000"/>
    <n v="178000"/>
    <n v="17622000"/>
    <x v="0"/>
    <s v="Kredit - Adira"/>
    <s v="Lunas"/>
    <s v="Referral"/>
  </r>
  <r>
    <s v="TRX-1059"/>
    <d v="2026-07-14T00:00:00"/>
    <x v="4"/>
    <x v="12"/>
    <s v="Putra Hidayat"/>
    <s v="P009"/>
    <x v="5"/>
    <n v="1"/>
    <n v="26900000"/>
    <n v="807000"/>
    <n v="26093000"/>
    <x v="0"/>
    <s v="Kredit - Adira"/>
    <s v="Lunas"/>
    <s v="Referral"/>
  </r>
  <r>
    <s v="TRX-1193"/>
    <d v="2026-07-16T00:00:00"/>
    <x v="1"/>
    <x v="1"/>
    <s v="Lala Saputra"/>
    <s v="P004"/>
    <x v="8"/>
    <n v="1"/>
    <n v="18900000"/>
    <n v="189000"/>
    <n v="18711000"/>
    <x v="0"/>
    <s v="Debit/Transfer"/>
    <s v="Lunas"/>
    <s v="Pameran"/>
  </r>
  <r>
    <s v="TRX-1223"/>
    <d v="2026-07-17T00:00:00"/>
    <x v="10"/>
    <x v="10"/>
    <s v="Tono Saputra"/>
    <s v="P003"/>
    <x v="9"/>
    <n v="1"/>
    <n v="27400000"/>
    <n v="0"/>
    <n v="27400000"/>
    <x v="0"/>
    <s v="Cash"/>
    <s v="DP"/>
    <s v="Online - Website"/>
  </r>
  <r>
    <s v="TRX-1278"/>
    <d v="2026-07-18T00:00:00"/>
    <x v="3"/>
    <x v="6"/>
    <s v="Budi Firmansyah"/>
    <s v="P008"/>
    <x v="2"/>
    <n v="1"/>
    <n v="24600000"/>
    <n v="492000"/>
    <n v="24108000"/>
    <x v="0"/>
    <s v="Cash"/>
    <s v="Lunas"/>
    <s v="Pameran"/>
  </r>
  <r>
    <s v="TRX-1295"/>
    <d v="2026-07-18T00:00:00"/>
    <x v="1"/>
    <x v="14"/>
    <s v="Kevin Ramadhan"/>
    <s v="P003"/>
    <x v="9"/>
    <n v="1"/>
    <n v="27400000"/>
    <n v="822000"/>
    <n v="26578000"/>
    <x v="0"/>
    <s v="Kredit - FIF"/>
    <s v="DP"/>
    <s v="Referral"/>
  </r>
  <r>
    <s v="TRX-1231"/>
    <d v="2026-07-17T00:00:00"/>
    <x v="7"/>
    <x v="16"/>
    <s v="Lala Maharani"/>
    <s v="P005"/>
    <x v="7"/>
    <n v="1"/>
    <n v="21500000"/>
    <n v="1075000"/>
    <n v="20425000"/>
    <x v="0"/>
    <s v="Kredit - Mandiri Tunas"/>
    <s v="Lunas"/>
    <s v="Referral"/>
  </r>
  <r>
    <s v="TRX-1092"/>
    <d v="2026-07-14T00:00:00"/>
    <x v="1"/>
    <x v="16"/>
    <s v="Budi Kusuma"/>
    <s v="P001"/>
    <x v="0"/>
    <n v="1"/>
    <n v="33500000"/>
    <n v="335000"/>
    <n v="33165000"/>
    <x v="0"/>
    <s v="Kredit - FIF"/>
    <s v="Lunas"/>
    <s v="Pameran"/>
  </r>
  <r>
    <s v="TRX-1300"/>
    <d v="2026-07-19T00:00:00"/>
    <x v="11"/>
    <x v="20"/>
    <s v="Rendi Pratama"/>
    <s v="P002"/>
    <x v="6"/>
    <n v="1"/>
    <n v="29800000"/>
    <n v="596000"/>
    <n v="29204000"/>
    <x v="0"/>
    <s v="Kredit - Adira"/>
    <s v="Lunas"/>
    <s v="Referral"/>
  </r>
  <r>
    <s v="TRX-1293"/>
    <d v="2026-07-18T00:00:00"/>
    <x v="1"/>
    <x v="6"/>
    <s v="Fitri Firmansyah"/>
    <s v="P004"/>
    <x v="8"/>
    <n v="1"/>
    <n v="18900000"/>
    <n v="189000"/>
    <n v="18711000"/>
    <x v="0"/>
    <s v="Debit/Transfer"/>
    <s v="Lunas"/>
    <s v="Pameran"/>
  </r>
  <r>
    <s v="TRX-1309"/>
    <d v="2026-07-19T00:00:00"/>
    <x v="5"/>
    <x v="4"/>
    <s v="Putra Hidayat"/>
    <s v="P001"/>
    <x v="0"/>
    <n v="1"/>
    <n v="33500000"/>
    <n v="1005000"/>
    <n v="32495000"/>
    <x v="0"/>
    <s v="Cash"/>
    <s v="Lunas"/>
    <s v="Referral"/>
  </r>
  <r>
    <s v="TRX-1212"/>
    <d v="2026-07-17T00:00:00"/>
    <x v="2"/>
    <x v="11"/>
    <s v="Eko Saputra"/>
    <s v="P005"/>
    <x v="7"/>
    <n v="1"/>
    <n v="21500000"/>
    <n v="1075000"/>
    <n v="20425000"/>
    <x v="0"/>
    <s v="Debit/Transfer"/>
    <s v="Proses Kredit"/>
    <s v="Referral"/>
  </r>
  <r>
    <s v="TRX-1303"/>
    <d v="2026-07-19T00:00:00"/>
    <x v="6"/>
    <x v="0"/>
    <s v="Citra Lestari"/>
    <s v="P008"/>
    <x v="2"/>
    <n v="1"/>
    <n v="24600000"/>
    <n v="738000"/>
    <n v="23862000"/>
    <x v="0"/>
    <s v="Kredit - FIF"/>
    <s v="Lunas"/>
    <s v="Online - Website"/>
  </r>
  <r>
    <s v="TRX-1123"/>
    <d v="2026-07-15T00:00:00"/>
    <x v="3"/>
    <x v="7"/>
    <s v="Kevin Hidayat"/>
    <s v="P004"/>
    <x v="8"/>
    <n v="1"/>
    <n v="18900000"/>
    <n v="0"/>
    <n v="18900000"/>
    <x v="0"/>
    <s v="Kredit - Adira"/>
    <s v="Lunas"/>
    <s v="Online - Website"/>
  </r>
  <r>
    <s v="TRX-1015"/>
    <d v="2026-07-13T00:00:00"/>
    <x v="8"/>
    <x v="4"/>
    <s v="Irfan Anggraini"/>
    <s v="P008"/>
    <x v="2"/>
    <n v="1"/>
    <n v="24600000"/>
    <n v="0"/>
    <n v="24600000"/>
    <x v="0"/>
    <s v="Debit/Transfer"/>
    <s v="DP"/>
    <s v="Showroom"/>
  </r>
  <r>
    <s v="TRX-1251"/>
    <d v="2026-07-18T00:00:00"/>
    <x v="5"/>
    <x v="8"/>
    <s v="Budi Firmansyah"/>
    <s v="P001"/>
    <x v="0"/>
    <n v="1"/>
    <n v="33500000"/>
    <n v="1675000"/>
    <n v="31825000"/>
    <x v="0"/>
    <s v="Kredit - Mandiri Tunas"/>
    <s v="Lunas"/>
    <s v="Online - Website"/>
  </r>
  <r>
    <s v="TRX-1112"/>
    <d v="2026-07-15T00:00:00"/>
    <x v="5"/>
    <x v="13"/>
    <s v="Tono Anggraini"/>
    <s v="P007"/>
    <x v="3"/>
    <n v="1"/>
    <n v="41000000"/>
    <n v="0"/>
    <n v="41000000"/>
    <x v="0"/>
    <s v="Debit/Transfer"/>
    <s v="Lunas"/>
    <s v="Showroom"/>
  </r>
  <r>
    <s v="TRX-1205"/>
    <d v="2026-07-17T00:00:00"/>
    <x v="11"/>
    <x v="17"/>
    <s v="Eko Ramadhan"/>
    <s v="P002"/>
    <x v="6"/>
    <n v="1"/>
    <n v="29800000"/>
    <n v="0"/>
    <n v="29800000"/>
    <x v="0"/>
    <s v="Kredit - Adira"/>
    <s v="Lunas"/>
    <s v="Showroom"/>
  </r>
  <r>
    <s v="TRX-1052"/>
    <d v="2026-07-14T00:00:00"/>
    <x v="5"/>
    <x v="12"/>
    <s v="Citra Ramadhan"/>
    <s v="P002"/>
    <x v="6"/>
    <n v="2"/>
    <n v="29800000"/>
    <n v="596000"/>
    <n v="59004000"/>
    <x v="0"/>
    <s v="Kredit - Adira"/>
    <s v="Lunas"/>
    <s v="Online - Website"/>
  </r>
  <r>
    <s v="TRX-1010"/>
    <d v="2026-07-13T00:00:00"/>
    <x v="2"/>
    <x v="19"/>
    <s v="Lala Lestari"/>
    <s v="P010"/>
    <x v="1"/>
    <n v="1"/>
    <n v="22300000"/>
    <n v="0"/>
    <n v="22300000"/>
    <x v="0"/>
    <s v="Cash"/>
    <s v="Lunas"/>
    <s v="Showroom"/>
  </r>
  <r>
    <s v="TRX-1276"/>
    <d v="2026-07-18T00:00:00"/>
    <x v="3"/>
    <x v="8"/>
    <s v="Siska Maharani"/>
    <s v="P001"/>
    <x v="0"/>
    <n v="1"/>
    <n v="33500000"/>
    <n v="335000"/>
    <n v="0"/>
    <x v="1"/>
    <s v="Debit/Transfer"/>
    <s v="Proses Kredit"/>
    <s v="Showroom"/>
  </r>
  <r>
    <s v="TRX-1017"/>
    <d v="2026-07-13T00:00:00"/>
    <x v="9"/>
    <x v="0"/>
    <s v="Putra Kusuma"/>
    <s v="P009"/>
    <x v="5"/>
    <n v="1"/>
    <n v="26900000"/>
    <n v="269000"/>
    <n v="26631000"/>
    <x v="0"/>
    <s v="Debit/Transfer"/>
    <s v="Lunas"/>
    <s v="Showroom"/>
  </r>
  <r>
    <s v="TRX-1248"/>
    <d v="2026-07-18T00:00:00"/>
    <x v="5"/>
    <x v="13"/>
    <s v="Putra Maharani"/>
    <s v="P007"/>
    <x v="3"/>
    <n v="1"/>
    <n v="41000000"/>
    <n v="1230000"/>
    <n v="39770000"/>
    <x v="0"/>
    <s v="Kredit - Mandiri Tunas"/>
    <s v="Lunas"/>
    <s v="Online - Website"/>
  </r>
  <r>
    <s v="TRX-1001"/>
    <d v="2026-07-13T00:00:00"/>
    <x v="11"/>
    <x v="0"/>
    <s v="Nia Saputra"/>
    <s v="P002"/>
    <x v="6"/>
    <n v="1"/>
    <n v="29800000"/>
    <n v="1490000"/>
    <n v="28310000"/>
    <x v="0"/>
    <s v="Debit/Transfer"/>
    <s v="Lunas"/>
    <s v="Online - Website"/>
  </r>
  <r>
    <s v="TRX-1159"/>
    <d v="2026-07-16T00:00:00"/>
    <x v="5"/>
    <x v="1"/>
    <s v="Kevin Pratama"/>
    <s v="P002"/>
    <x v="6"/>
    <n v="1"/>
    <n v="29800000"/>
    <n v="894000"/>
    <n v="28906000"/>
    <x v="0"/>
    <s v="Kredit - Adira"/>
    <s v="Lunas"/>
    <s v="Pameran"/>
  </r>
  <r>
    <s v="TRX-1139"/>
    <d v="2026-07-15T00:00:00"/>
    <x v="1"/>
    <x v="6"/>
    <s v="Nia Pratama"/>
    <s v="P004"/>
    <x v="8"/>
    <n v="1"/>
    <n v="18900000"/>
    <n v="0"/>
    <n v="18900000"/>
    <x v="0"/>
    <s v="Cash"/>
    <s v="Lunas"/>
    <s v="Online - Website"/>
  </r>
  <r>
    <s v="TRX-1063"/>
    <d v="2026-07-14T00:00:00"/>
    <x v="10"/>
    <x v="10"/>
    <s v="Irfan Ramadhan"/>
    <s v="P003"/>
    <x v="9"/>
    <n v="1"/>
    <n v="27400000"/>
    <n v="0"/>
    <n v="27400000"/>
    <x v="0"/>
    <s v="Kredit - Mandiri Tunas"/>
    <s v="Proses Kredit"/>
    <s v="Online - Website"/>
  </r>
  <r>
    <s v="TRX-1329"/>
    <d v="2026-07-19T00:00:00"/>
    <x v="3"/>
    <x v="20"/>
    <s v="Irfan Wijaya"/>
    <s v="P010"/>
    <x v="1"/>
    <n v="1"/>
    <n v="22300000"/>
    <n v="446000"/>
    <n v="21854000"/>
    <x v="0"/>
    <s v="Kredit - Adira"/>
    <s v="Lunas"/>
    <s v="Referral"/>
  </r>
  <r>
    <s v="TRX-1160"/>
    <d v="2026-07-16T00:00:00"/>
    <x v="5"/>
    <x v="11"/>
    <s v="Nia Firmansyah"/>
    <s v="P002"/>
    <x v="6"/>
    <n v="1"/>
    <n v="29800000"/>
    <n v="894000"/>
    <n v="28906000"/>
    <x v="0"/>
    <s v="Debit/Transfer"/>
    <s v="Proses Kredit"/>
    <s v="Referral"/>
  </r>
  <r>
    <s v="TRX-1198"/>
    <d v="2026-07-16T00:00:00"/>
    <x v="1"/>
    <x v="6"/>
    <s v="Jihan Lestari"/>
    <s v="P004"/>
    <x v="8"/>
    <n v="1"/>
    <n v="18900000"/>
    <n v="567000"/>
    <n v="18333000"/>
    <x v="0"/>
    <s v="Cash"/>
    <s v="Proses Kredit"/>
    <s v="Online - Website"/>
  </r>
  <r>
    <s v="TRX-1071"/>
    <d v="2026-07-14T00:00:00"/>
    <x v="9"/>
    <x v="20"/>
    <s v="Oscar Lestari"/>
    <s v="P002"/>
    <x v="6"/>
    <n v="1"/>
    <n v="29800000"/>
    <n v="596000"/>
    <n v="29204000"/>
    <x v="0"/>
    <s v="Debit/Transfer"/>
    <s v="Lunas"/>
    <s v="Referral"/>
  </r>
  <r>
    <s v="TRX-1181"/>
    <d v="2026-07-16T00:00:00"/>
    <x v="3"/>
    <x v="6"/>
    <s v="Made Hidayat"/>
    <s v="P002"/>
    <x v="6"/>
    <n v="1"/>
    <n v="29800000"/>
    <n v="1490000"/>
    <n v="28310000"/>
    <x v="0"/>
    <s v="Kredit - Adira"/>
    <s v="Lunas"/>
    <s v="Referral"/>
  </r>
  <r>
    <s v="TRX-1118"/>
    <d v="2026-07-15T00:00:00"/>
    <x v="10"/>
    <x v="8"/>
    <s v="Citra Ramadhan"/>
    <s v="P002"/>
    <x v="6"/>
    <n v="1"/>
    <n v="29800000"/>
    <n v="1490000"/>
    <n v="28310000"/>
    <x v="0"/>
    <s v="Debit/Transfer"/>
    <s v="Lunas"/>
    <s v="Referral"/>
  </r>
  <r>
    <s v="TRX-1042"/>
    <d v="2026-07-14T00:00:00"/>
    <x v="6"/>
    <x v="2"/>
    <s v="Fitri Maharani"/>
    <s v="P003"/>
    <x v="9"/>
    <n v="1"/>
    <n v="27400000"/>
    <n v="0"/>
    <n v="27400000"/>
    <x v="0"/>
    <s v="Kredit - Adira"/>
    <s v="Lunas"/>
    <s v="Referral"/>
  </r>
  <r>
    <s v="TRX-1128"/>
    <d v="2026-07-15T00:00:00"/>
    <x v="3"/>
    <x v="1"/>
    <s v="Tono Hidayat"/>
    <s v="P004"/>
    <x v="8"/>
    <n v="1"/>
    <n v="18900000"/>
    <n v="567000"/>
    <n v="18333000"/>
    <x v="0"/>
    <s v="Kredit - Adira"/>
    <s v="Lunas"/>
    <s v="Pameran"/>
  </r>
  <r>
    <s v="TRX-1334"/>
    <d v="2026-07-19T00:00:00"/>
    <x v="7"/>
    <x v="19"/>
    <s v="Galih Ramadhan"/>
    <s v="P010"/>
    <x v="1"/>
    <n v="1"/>
    <n v="22300000"/>
    <n v="446000"/>
    <n v="21854000"/>
    <x v="0"/>
    <s v="Kredit - FIF"/>
    <s v="Lunas"/>
    <s v="Online - Website"/>
  </r>
  <r>
    <s v="TRX-1296"/>
    <d v="2026-07-18T00:00:00"/>
    <x v="1"/>
    <x v="8"/>
    <s v="Budi Lestari"/>
    <s v="P001"/>
    <x v="0"/>
    <n v="1"/>
    <n v="33500000"/>
    <n v="335000"/>
    <n v="33165000"/>
    <x v="0"/>
    <s v="Cash"/>
    <s v="Lunas"/>
    <s v="Showroom"/>
  </r>
  <r>
    <s v="TRX-1249"/>
    <d v="2026-07-18T00:00:00"/>
    <x v="5"/>
    <x v="6"/>
    <s v="Budi Anggraini"/>
    <s v="P005"/>
    <x v="7"/>
    <n v="1"/>
    <n v="21500000"/>
    <n v="430000"/>
    <n v="21070000"/>
    <x v="0"/>
    <s v="Kredit - FIF"/>
    <s v="DP"/>
    <s v="Referral"/>
  </r>
  <r>
    <s v="TRX-1164"/>
    <d v="2026-07-16T00:00:00"/>
    <x v="10"/>
    <x v="14"/>
    <s v="Jihan Ramadhan"/>
    <s v="P009"/>
    <x v="5"/>
    <n v="1"/>
    <n v="26900000"/>
    <n v="1345000"/>
    <n v="25555000"/>
    <x v="0"/>
    <s v="Kredit - FIF"/>
    <s v="Lunas"/>
    <s v="Referral"/>
  </r>
  <r>
    <s v="TRX-1040"/>
    <d v="2026-07-14T00:00:00"/>
    <x v="6"/>
    <x v="6"/>
    <s v="Kevin Hidayat"/>
    <s v="P001"/>
    <x v="0"/>
    <n v="1"/>
    <n v="33500000"/>
    <n v="0"/>
    <n v="33500000"/>
    <x v="0"/>
    <s v="Cash"/>
    <s v="Lunas"/>
    <s v="Pameran"/>
  </r>
  <r>
    <s v="TRX-1113"/>
    <d v="2026-07-15T00:00:00"/>
    <x v="5"/>
    <x v="19"/>
    <s v="Lala Pratama"/>
    <s v="P005"/>
    <x v="7"/>
    <n v="1"/>
    <n v="21500000"/>
    <n v="1075000"/>
    <n v="20425000"/>
    <x v="0"/>
    <s v="Debit/Transfer"/>
    <s v="Lunas"/>
    <s v="Referral"/>
  </r>
  <r>
    <s v="TRX-1079"/>
    <d v="2026-07-14T00:00:00"/>
    <x v="7"/>
    <x v="17"/>
    <s v="Oscar Pratama"/>
    <s v="P008"/>
    <x v="2"/>
    <n v="1"/>
    <n v="24600000"/>
    <n v="246000"/>
    <n v="24354000"/>
    <x v="0"/>
    <s v="Debit/Transfer"/>
    <s v="Lunas"/>
    <s v="Referral"/>
  </r>
  <r>
    <s v="TRX-1338"/>
    <d v="2026-07-19T00:00:00"/>
    <x v="0"/>
    <x v="9"/>
    <s v="Kevin Lestari"/>
    <s v="P001"/>
    <x v="0"/>
    <n v="1"/>
    <n v="33500000"/>
    <n v="670000"/>
    <n v="32830000"/>
    <x v="0"/>
    <s v="Kredit - FIF"/>
    <s v="Lunas"/>
    <s v="Showroom"/>
  </r>
  <r>
    <s v="TRX-1190"/>
    <d v="2026-07-16T00:00:00"/>
    <x v="0"/>
    <x v="7"/>
    <s v="Putra Firmansyah"/>
    <s v="P007"/>
    <x v="3"/>
    <n v="1"/>
    <n v="41000000"/>
    <n v="410000"/>
    <n v="40590000"/>
    <x v="0"/>
    <s v="Debit/Transfer"/>
    <s v="Lunas"/>
    <s v="Pameran"/>
  </r>
  <r>
    <s v="TRX-1330"/>
    <d v="2026-07-19T00:00:00"/>
    <x v="3"/>
    <x v="2"/>
    <s v="Citra Ramadhan"/>
    <s v="P003"/>
    <x v="9"/>
    <n v="1"/>
    <n v="27400000"/>
    <n v="822000"/>
    <n v="0"/>
    <x v="1"/>
    <s v="Kredit - Adira"/>
    <s v="Lunas"/>
    <s v="Pameran"/>
  </r>
  <r>
    <s v="TRX-1018"/>
    <d v="2026-07-13T00:00:00"/>
    <x v="3"/>
    <x v="8"/>
    <s v="Fitri Wijaya"/>
    <s v="P004"/>
    <x v="8"/>
    <n v="1"/>
    <n v="18900000"/>
    <n v="0"/>
    <n v="18900000"/>
    <x v="0"/>
    <s v="Debit/Transfer"/>
    <s v="Lunas"/>
    <s v="Online - Website"/>
  </r>
  <r>
    <s v="TRX-1274"/>
    <d v="2026-07-18T00:00:00"/>
    <x v="9"/>
    <x v="18"/>
    <s v="Oscar Lestari"/>
    <s v="P008"/>
    <x v="2"/>
    <n v="1"/>
    <n v="24600000"/>
    <n v="246000"/>
    <n v="24354000"/>
    <x v="0"/>
    <s v="Kredit - Adira"/>
    <s v="Lunas"/>
    <s v="Showroom"/>
  </r>
  <r>
    <s v="TRX-1229"/>
    <d v="2026-07-17T00:00:00"/>
    <x v="3"/>
    <x v="20"/>
    <s v="Irfan Saputra"/>
    <s v="P003"/>
    <x v="9"/>
    <n v="1"/>
    <n v="27400000"/>
    <n v="274000"/>
    <n v="27126000"/>
    <x v="0"/>
    <s v="Kredit - Adira"/>
    <s v="Lunas"/>
    <s v="Online - Website"/>
  </r>
  <r>
    <s v="TRX-1089"/>
    <d v="2026-07-14T00:00:00"/>
    <x v="1"/>
    <x v="12"/>
    <s v="Dewi Hidayat"/>
    <s v="P002"/>
    <x v="6"/>
    <n v="1"/>
    <n v="29800000"/>
    <n v="894000"/>
    <n v="28906000"/>
    <x v="0"/>
    <s v="Debit/Transfer"/>
    <s v="Lunas"/>
    <s v="Online - Website"/>
  </r>
  <r>
    <s v="TRX-1170"/>
    <d v="2026-07-16T00:00:00"/>
    <x v="8"/>
    <x v="8"/>
    <s v="Lala Lestari"/>
    <s v="P009"/>
    <x v="5"/>
    <n v="1"/>
    <n v="26900000"/>
    <n v="0"/>
    <n v="26900000"/>
    <x v="0"/>
    <s v="Kredit - Mandiri Tunas"/>
    <s v="Lunas"/>
    <s v="Online - Website"/>
  </r>
  <r>
    <s v="TRX-1043"/>
    <d v="2026-07-14T00:00:00"/>
    <x v="6"/>
    <x v="18"/>
    <s v="Galih Wijaya"/>
    <s v="P001"/>
    <x v="0"/>
    <n v="1"/>
    <n v="33500000"/>
    <n v="335000"/>
    <n v="33165000"/>
    <x v="0"/>
    <s v="Debit/Transfer"/>
    <s v="Lunas"/>
    <s v="Showroom"/>
  </r>
  <r>
    <s v="TRX-1162"/>
    <d v="2026-07-16T00:00:00"/>
    <x v="4"/>
    <x v="7"/>
    <s v="Citra Firmansyah"/>
    <s v="P003"/>
    <x v="9"/>
    <n v="1"/>
    <n v="27400000"/>
    <n v="274000"/>
    <n v="27126000"/>
    <x v="0"/>
    <s v="Kredit - Mandiri Tunas"/>
    <s v="Lunas"/>
    <s v="Showroom"/>
  </r>
  <r>
    <s v="TRX-1175"/>
    <d v="2026-07-16T00:00:00"/>
    <x v="8"/>
    <x v="1"/>
    <s v="Made Hidayat"/>
    <s v="P001"/>
    <x v="0"/>
    <n v="1"/>
    <n v="33500000"/>
    <n v="0"/>
    <n v="33500000"/>
    <x v="0"/>
    <s v="Kredit - Mandiri Tunas"/>
    <s v="Lunas"/>
    <s v="Online - Website"/>
  </r>
  <r>
    <s v="TRX-1257"/>
    <d v="2026-07-18T00:00:00"/>
    <x v="4"/>
    <x v="2"/>
    <s v="Irfan Lestari"/>
    <s v="P002"/>
    <x v="6"/>
    <n v="1"/>
    <n v="29800000"/>
    <n v="0"/>
    <n v="29800000"/>
    <x v="0"/>
    <s v="Kredit - Adira"/>
    <s v="Proses Kredit"/>
    <s v="Online - Website"/>
  </r>
  <r>
    <s v="TRX-1166"/>
    <d v="2026-07-16T00:00:00"/>
    <x v="10"/>
    <x v="13"/>
    <s v="Galih Hidayat"/>
    <s v="P001"/>
    <x v="0"/>
    <n v="1"/>
    <n v="33500000"/>
    <n v="1005000"/>
    <n v="32495000"/>
    <x v="0"/>
    <s v="Kredit - Mandiri Tunas"/>
    <s v="Lunas"/>
    <s v="Referral"/>
  </r>
  <r>
    <s v="TRX-1174"/>
    <d v="2026-07-16T00:00:00"/>
    <x v="8"/>
    <x v="18"/>
    <s v="Rendi Hidayat"/>
    <s v="P002"/>
    <x v="6"/>
    <n v="1"/>
    <n v="29800000"/>
    <n v="894000"/>
    <n v="28906000"/>
    <x v="0"/>
    <s v="Debit/Transfer"/>
    <s v="Lunas"/>
    <s v="Referral"/>
  </r>
  <r>
    <s v="TRX-1006"/>
    <d v="2026-07-13T00:00:00"/>
    <x v="6"/>
    <x v="5"/>
    <s v="Siska Hidayat"/>
    <s v="P008"/>
    <x v="2"/>
    <n v="1"/>
    <n v="24600000"/>
    <n v="492000"/>
    <n v="24108000"/>
    <x v="0"/>
    <s v="Kredit - Adira"/>
    <s v="Lunas"/>
    <s v="Referral"/>
  </r>
  <r>
    <s v="TRX-1230"/>
    <d v="2026-07-17T00:00:00"/>
    <x v="3"/>
    <x v="3"/>
    <s v="Hana Maharani"/>
    <s v="P001"/>
    <x v="0"/>
    <n v="1"/>
    <n v="33500000"/>
    <n v="335000"/>
    <n v="33165000"/>
    <x v="0"/>
    <s v="Kredit - Adira"/>
    <s v="Lunas"/>
    <s v="Online - Website"/>
  </r>
  <r>
    <s v="TRX-1180"/>
    <d v="2026-07-16T00:00:00"/>
    <x v="3"/>
    <x v="19"/>
    <s v="Made Hidayat"/>
    <s v="P004"/>
    <x v="8"/>
    <n v="1"/>
    <n v="18900000"/>
    <n v="378000"/>
    <n v="18522000"/>
    <x v="0"/>
    <s v="Kredit - Mandiri Tunas"/>
    <s v="Lunas"/>
    <s v="Online - Website"/>
  </r>
  <r>
    <s v="TRX-1039"/>
    <d v="2026-07-14T00:00:00"/>
    <x v="6"/>
    <x v="7"/>
    <s v="Tono Firmansyah"/>
    <s v="P002"/>
    <x v="6"/>
    <n v="1"/>
    <n v="29800000"/>
    <n v="596000"/>
    <n v="29204000"/>
    <x v="0"/>
    <s v="Cash"/>
    <s v="Lunas"/>
    <s v="Pameran"/>
  </r>
  <r>
    <s v="TRX-1239"/>
    <d v="2026-07-17T00:00:00"/>
    <x v="1"/>
    <x v="6"/>
    <s v="Dewi Wijaya"/>
    <s v="P003"/>
    <x v="9"/>
    <n v="1"/>
    <n v="27400000"/>
    <n v="0"/>
    <n v="27400000"/>
    <x v="0"/>
    <s v="Cash"/>
    <s v="DP"/>
    <s v="Showroom"/>
  </r>
  <r>
    <s v="TRX-1292"/>
    <d v="2026-07-18T00:00:00"/>
    <x v="1"/>
    <x v="19"/>
    <s v="Oscar Kusuma"/>
    <s v="P003"/>
    <x v="9"/>
    <n v="1"/>
    <n v="27400000"/>
    <n v="0"/>
    <n v="27400000"/>
    <x v="0"/>
    <s v="Cash"/>
    <s v="DP"/>
    <s v="Referral"/>
  </r>
  <r>
    <s v="TRX-1243"/>
    <d v="2026-07-18T00:00:00"/>
    <x v="6"/>
    <x v="2"/>
    <s v="Irfan Maharani"/>
    <s v="P002"/>
    <x v="6"/>
    <n v="1"/>
    <n v="29800000"/>
    <n v="298000"/>
    <n v="29502000"/>
    <x v="0"/>
    <s v="Debit/Transfer"/>
    <s v="Lunas"/>
    <s v="Pameran"/>
  </r>
  <r>
    <s v="TRX-1101"/>
    <d v="2026-07-15T00:00:00"/>
    <x v="6"/>
    <x v="12"/>
    <s v="Budi Anggraini"/>
    <s v="P009"/>
    <x v="5"/>
    <n v="1"/>
    <n v="26900000"/>
    <n v="0"/>
    <n v="26900000"/>
    <x v="0"/>
    <s v="Cash"/>
    <s v="DP"/>
    <s v="Online - Website"/>
  </r>
  <r>
    <s v="TRX-1035"/>
    <d v="2026-07-14T00:00:00"/>
    <x v="11"/>
    <x v="8"/>
    <s v="Rendi Anggraini"/>
    <s v="P010"/>
    <x v="1"/>
    <n v="1"/>
    <n v="22300000"/>
    <n v="669000"/>
    <n v="21631000"/>
    <x v="0"/>
    <s v="Kredit - Adira"/>
    <s v="Lunas"/>
    <s v="Referral"/>
  </r>
  <r>
    <s v="TRX-1111"/>
    <d v="2026-07-15T00:00:00"/>
    <x v="2"/>
    <x v="12"/>
    <s v="Ahmad Wijaya"/>
    <s v="P002"/>
    <x v="6"/>
    <n v="1"/>
    <n v="29800000"/>
    <n v="1490000"/>
    <n v="28310000"/>
    <x v="0"/>
    <s v="Debit/Transfer"/>
    <s v="Lunas"/>
    <s v="Pameran"/>
  </r>
  <r>
    <s v="TRX-1187"/>
    <d v="2026-07-16T00:00:00"/>
    <x v="7"/>
    <x v="17"/>
    <s v="Oscar Anggraini"/>
    <s v="P002"/>
    <x v="6"/>
    <n v="1"/>
    <n v="29800000"/>
    <n v="0"/>
    <n v="29800000"/>
    <x v="0"/>
    <s v="Cash"/>
    <s v="Lunas"/>
    <s v="Referral"/>
  </r>
  <r>
    <s v="TRX-1327"/>
    <d v="2026-07-19T00:00:00"/>
    <x v="3"/>
    <x v="7"/>
    <s v="Siska Saputra"/>
    <s v="P010"/>
    <x v="1"/>
    <n v="1"/>
    <n v="22300000"/>
    <n v="669000"/>
    <n v="21631000"/>
    <x v="0"/>
    <s v="Debit/Transfer"/>
    <s v="Lunas"/>
    <s v="Referral"/>
  </r>
  <r>
    <s v="TRX-1020"/>
    <d v="2026-07-13T00:00:00"/>
    <x v="3"/>
    <x v="1"/>
    <s v="Dewi Wijaya"/>
    <s v="P003"/>
    <x v="9"/>
    <n v="1"/>
    <n v="27400000"/>
    <n v="0"/>
    <n v="0"/>
    <x v="1"/>
    <s v="Cash"/>
    <s v="Lunas"/>
    <s v="Online - Website"/>
  </r>
  <r>
    <s v="TRX-1218"/>
    <d v="2026-07-17T00:00:00"/>
    <x v="5"/>
    <x v="5"/>
    <s v="Rendi Pratama"/>
    <s v="P003"/>
    <x v="9"/>
    <n v="1"/>
    <n v="27400000"/>
    <n v="548000"/>
    <n v="26852000"/>
    <x v="0"/>
    <s v="Kredit - Adira"/>
    <s v="DP"/>
    <s v="Referral"/>
  </r>
  <r>
    <s v="TRX-1045"/>
    <d v="2026-07-14T00:00:00"/>
    <x v="2"/>
    <x v="0"/>
    <s v="Oscar Ramadhan"/>
    <s v="P001"/>
    <x v="0"/>
    <n v="1"/>
    <n v="33500000"/>
    <n v="1675000"/>
    <n v="31825000"/>
    <x v="0"/>
    <s v="Kredit - Adira"/>
    <s v="Lunas"/>
    <s v="Showroom"/>
  </r>
  <r>
    <s v="TRX-1214"/>
    <d v="2026-07-17T00:00:00"/>
    <x v="2"/>
    <x v="16"/>
    <s v="Fitri Lestari"/>
    <s v="P004"/>
    <x v="8"/>
    <n v="1"/>
    <n v="18900000"/>
    <n v="0"/>
    <n v="18900000"/>
    <x v="0"/>
    <s v="Kredit - Adira"/>
    <s v="DP"/>
    <s v="Showroom"/>
  </r>
  <r>
    <s v="TRX-1189"/>
    <d v="2026-07-16T00:00:00"/>
    <x v="0"/>
    <x v="13"/>
    <s v="Galih Pratama"/>
    <s v="P003"/>
    <x v="9"/>
    <n v="1"/>
    <n v="27400000"/>
    <n v="0"/>
    <n v="27400000"/>
    <x v="0"/>
    <s v="Debit/Transfer"/>
    <s v="Lunas"/>
    <s v="Showroom"/>
  </r>
  <r>
    <s v="TRX-1109"/>
    <d v="2026-07-15T00:00:00"/>
    <x v="2"/>
    <x v="4"/>
    <s v="Citra Pratama"/>
    <s v="P001"/>
    <x v="0"/>
    <n v="1"/>
    <n v="33500000"/>
    <n v="670000"/>
    <n v="32830000"/>
    <x v="0"/>
    <s v="Kredit - Mandiri Tunas"/>
    <s v="DP"/>
    <s v="Showroom"/>
  </r>
  <r>
    <s v="TRX-1301"/>
    <d v="2026-07-19T00:00:00"/>
    <x v="11"/>
    <x v="20"/>
    <s v="Rendi Kusuma"/>
    <s v="P006"/>
    <x v="4"/>
    <n v="1"/>
    <n v="17800000"/>
    <n v="890000"/>
    <n v="16910000"/>
    <x v="0"/>
    <s v="Debit/Transfer"/>
    <s v="Lunas"/>
    <s v="Showroom"/>
  </r>
  <r>
    <s v="TRX-1080"/>
    <d v="2026-07-14T00:00:00"/>
    <x v="7"/>
    <x v="7"/>
    <s v="Galih Maharani"/>
    <s v="P001"/>
    <x v="0"/>
    <n v="1"/>
    <n v="33500000"/>
    <n v="0"/>
    <n v="33500000"/>
    <x v="0"/>
    <s v="Kredit - Adira"/>
    <s v="Lunas"/>
    <s v="Online - Website"/>
  </r>
  <r>
    <s v="TRX-1331"/>
    <d v="2026-07-19T00:00:00"/>
    <x v="3"/>
    <x v="5"/>
    <s v="Galih Pratama"/>
    <s v="P002"/>
    <x v="6"/>
    <n v="1"/>
    <n v="29800000"/>
    <n v="894000"/>
    <n v="28906000"/>
    <x v="0"/>
    <s v="Debit/Transfer"/>
    <s v="DP"/>
    <s v="Referral"/>
  </r>
  <r>
    <s v="TRX-1206"/>
    <d v="2026-07-17T00:00:00"/>
    <x v="6"/>
    <x v="5"/>
    <s v="Eko Ramadhan"/>
    <s v="P004"/>
    <x v="8"/>
    <n v="1"/>
    <n v="18900000"/>
    <n v="0"/>
    <n v="18900000"/>
    <x v="0"/>
    <s v="Kredit - Adira"/>
    <s v="Lunas"/>
    <s v="Showroom"/>
  </r>
  <r>
    <s v="TRX-1009"/>
    <d v="2026-07-13T00:00:00"/>
    <x v="6"/>
    <x v="2"/>
    <s v="Fitri Firmansyah"/>
    <s v="P002"/>
    <x v="6"/>
    <n v="1"/>
    <n v="29800000"/>
    <n v="0"/>
    <n v="29800000"/>
    <x v="0"/>
    <s v="Debit/Transfer"/>
    <s v="DP"/>
    <s v="Online - Website"/>
  </r>
  <r>
    <s v="TRX-1287"/>
    <d v="2026-07-18T00:00:00"/>
    <x v="0"/>
    <x v="0"/>
    <s v="Nia Saputra"/>
    <s v="P005"/>
    <x v="7"/>
    <n v="1"/>
    <n v="21500000"/>
    <n v="1075000"/>
    <n v="20425000"/>
    <x v="0"/>
    <s v="Cash"/>
    <s v="Lunas"/>
    <s v="Showroom"/>
  </r>
  <r>
    <s v="TRX-1100"/>
    <d v="2026-07-15T00:00:00"/>
    <x v="6"/>
    <x v="10"/>
    <s v="Citra Maharani"/>
    <s v="P002"/>
    <x v="6"/>
    <n v="1"/>
    <n v="29800000"/>
    <n v="0"/>
    <n v="29800000"/>
    <x v="0"/>
    <s v="Cash"/>
    <s v="Lunas"/>
    <s v="Pameran"/>
  </r>
  <r>
    <s v="TRX-1304"/>
    <d v="2026-07-19T00:00:00"/>
    <x v="6"/>
    <x v="5"/>
    <s v="Oscar Hidayat"/>
    <s v="P006"/>
    <x v="4"/>
    <n v="1"/>
    <n v="17800000"/>
    <n v="178000"/>
    <n v="17622000"/>
    <x v="0"/>
    <s v="Kredit - FIF"/>
    <s v="Lunas"/>
    <s v="Referral"/>
  </r>
  <r>
    <s v="TRX-1286"/>
    <d v="2026-07-18T00:00:00"/>
    <x v="0"/>
    <x v="4"/>
    <s v="Fitri Firmansyah"/>
    <s v="P001"/>
    <x v="0"/>
    <n v="1"/>
    <n v="33500000"/>
    <n v="335000"/>
    <n v="33165000"/>
    <x v="0"/>
    <s v="Kredit - FIF"/>
    <s v="Lunas"/>
    <s v="Pameran"/>
  </r>
  <r>
    <s v="TRX-1279"/>
    <d v="2026-07-18T00:00:00"/>
    <x v="3"/>
    <x v="7"/>
    <s v="Putra Saputra"/>
    <s v="P003"/>
    <x v="9"/>
    <n v="1"/>
    <n v="27400000"/>
    <n v="0"/>
    <n v="27400000"/>
    <x v="0"/>
    <s v="Cash"/>
    <s v="Lunas"/>
    <s v="Referral"/>
  </r>
  <r>
    <s v="TRX-1029"/>
    <d v="2026-07-13T00:00:00"/>
    <x v="0"/>
    <x v="19"/>
    <s v="Rendi Pratama"/>
    <s v="P003"/>
    <x v="9"/>
    <n v="1"/>
    <n v="27400000"/>
    <n v="274000"/>
    <n v="27126000"/>
    <x v="0"/>
    <s v="Debit/Transfer"/>
    <s v="Lunas"/>
    <s v="Referral"/>
  </r>
  <r>
    <s v="TRX-1032"/>
    <d v="2026-07-13T00:00:00"/>
    <x v="1"/>
    <x v="15"/>
    <s v="Tono Hidayat"/>
    <s v="P007"/>
    <x v="3"/>
    <n v="2"/>
    <n v="41000000"/>
    <n v="4100000"/>
    <n v="77900000"/>
    <x v="0"/>
    <s v="Kredit - FIF"/>
    <s v="Proses Kredit"/>
    <s v="Online - Website"/>
  </r>
  <r>
    <s v="TRX-1056"/>
    <d v="2026-07-14T00:00:00"/>
    <x v="4"/>
    <x v="2"/>
    <s v="Citra Saputra"/>
    <s v="P003"/>
    <x v="9"/>
    <n v="1"/>
    <n v="27400000"/>
    <n v="1370000"/>
    <n v="26030000"/>
    <x v="0"/>
    <s v="Kredit - FIF"/>
    <s v="Lunas"/>
    <s v="Pameran"/>
  </r>
  <r>
    <s v="TRX-1173"/>
    <d v="2026-07-16T00:00:00"/>
    <x v="8"/>
    <x v="16"/>
    <s v="Fitri Hidayat"/>
    <s v="P001"/>
    <x v="0"/>
    <n v="1"/>
    <n v="33500000"/>
    <n v="335000"/>
    <n v="33165000"/>
    <x v="0"/>
    <s v="Kredit - Mandiri Tunas"/>
    <s v="Lunas"/>
    <s v="Showroom"/>
  </r>
  <r>
    <s v="TRX-1033"/>
    <d v="2026-07-13T00:00:00"/>
    <x v="1"/>
    <x v="12"/>
    <s v="Citra Anggraini"/>
    <s v="P008"/>
    <x v="2"/>
    <n v="1"/>
    <n v="24600000"/>
    <n v="0"/>
    <n v="24600000"/>
    <x v="0"/>
    <s v="Kredit - Mandiri Tunas"/>
    <s v="Lunas"/>
    <s v="Pameran"/>
  </r>
  <r>
    <s v="TRX-1219"/>
    <d v="2026-07-17T00:00:00"/>
    <x v="4"/>
    <x v="5"/>
    <s v="Hana Ramadhan"/>
    <s v="P005"/>
    <x v="7"/>
    <n v="1"/>
    <n v="21500000"/>
    <n v="1075000"/>
    <n v="20425000"/>
    <x v="0"/>
    <s v="Kredit - FIF"/>
    <s v="Lunas"/>
    <s v="Showroom"/>
  </r>
  <r>
    <s v="TRX-1049"/>
    <d v="2026-07-14T00:00:00"/>
    <x v="2"/>
    <x v="9"/>
    <s v="Kevin Wijaya"/>
    <s v="P002"/>
    <x v="6"/>
    <n v="1"/>
    <n v="29800000"/>
    <n v="298000"/>
    <n v="29502000"/>
    <x v="0"/>
    <s v="Kredit - Adira"/>
    <s v="Proses Kredit"/>
    <s v="Online - Website"/>
  </r>
  <r>
    <s v="TRX-1288"/>
    <d v="2026-07-18T00:00:00"/>
    <x v="0"/>
    <x v="2"/>
    <s v="Budi Lestari"/>
    <s v="P001"/>
    <x v="0"/>
    <n v="1"/>
    <n v="33500000"/>
    <n v="0"/>
    <n v="33500000"/>
    <x v="0"/>
    <s v="Kredit - Mandiri Tunas"/>
    <s v="Lunas"/>
    <s v="Showroom"/>
  </r>
  <r>
    <s v="TRX-1232"/>
    <d v="2026-07-17T00:00:00"/>
    <x v="7"/>
    <x v="19"/>
    <s v="Putra Saputra"/>
    <s v="P001"/>
    <x v="0"/>
    <n v="1"/>
    <n v="33500000"/>
    <n v="0"/>
    <n v="33500000"/>
    <x v="0"/>
    <s v="Kredit - FIF"/>
    <s v="Lunas"/>
    <s v="Online - Website"/>
  </r>
  <r>
    <s v="TRX-1034"/>
    <d v="2026-07-14T00:00:00"/>
    <x v="11"/>
    <x v="14"/>
    <s v="Qori Anggraini"/>
    <s v="P001"/>
    <x v="0"/>
    <n v="1"/>
    <n v="33500000"/>
    <n v="0"/>
    <n v="33500000"/>
    <x v="0"/>
    <s v="Kredit - Mandiri Tunas"/>
    <s v="Lunas"/>
    <s v="Referral"/>
  </r>
  <r>
    <s v="TRX-1036"/>
    <d v="2026-07-14T00:00:00"/>
    <x v="11"/>
    <x v="7"/>
    <s v="Jihan Pratama"/>
    <s v="P007"/>
    <x v="3"/>
    <n v="1"/>
    <n v="41000000"/>
    <n v="2050000"/>
    <n v="38950000"/>
    <x v="0"/>
    <s v="Kredit - Adira"/>
    <s v="Lunas"/>
    <s v="Pameran"/>
  </r>
  <r>
    <s v="TRX-1272"/>
    <d v="2026-07-18T00:00:00"/>
    <x v="9"/>
    <x v="9"/>
    <s v="Hana Anggraini"/>
    <s v="P001"/>
    <x v="0"/>
    <n v="1"/>
    <n v="33500000"/>
    <n v="1005000"/>
    <n v="32495000"/>
    <x v="0"/>
    <s v="Cash"/>
    <s v="Lunas"/>
    <s v="Referral"/>
  </r>
  <r>
    <s v="TRX-1064"/>
    <d v="2026-07-14T00:00:00"/>
    <x v="8"/>
    <x v="13"/>
    <s v="Qori Lestari"/>
    <s v="P006"/>
    <x v="4"/>
    <n v="1"/>
    <n v="17800000"/>
    <n v="0"/>
    <n v="17800000"/>
    <x v="0"/>
    <s v="Debit/Transfer"/>
    <s v="Lunas"/>
    <s v="Pameran"/>
  </r>
  <r>
    <s v="TRX-1158"/>
    <d v="2026-07-16T00:00:00"/>
    <x v="5"/>
    <x v="3"/>
    <s v="Budi Ramadhan"/>
    <s v="P001"/>
    <x v="0"/>
    <n v="1"/>
    <n v="33500000"/>
    <n v="670000"/>
    <n v="32830000"/>
    <x v="0"/>
    <s v="Kredit - Adira"/>
    <s v="Lunas"/>
    <s v="Referral"/>
  </r>
  <r>
    <s v="TRX-1129"/>
    <d v="2026-07-15T00:00:00"/>
    <x v="7"/>
    <x v="10"/>
    <s v="Made Lestari"/>
    <s v="P005"/>
    <x v="7"/>
    <n v="1"/>
    <n v="21500000"/>
    <n v="1075000"/>
    <n v="20425000"/>
    <x v="0"/>
    <s v="Kredit - Mandiri Tunas"/>
    <s v="Lunas"/>
    <s v="Pameran"/>
  </r>
  <r>
    <s v="TRX-1047"/>
    <d v="2026-07-14T00:00:00"/>
    <x v="2"/>
    <x v="8"/>
    <s v="Citra Pratama"/>
    <s v="P009"/>
    <x v="5"/>
    <n v="1"/>
    <n v="26900000"/>
    <n v="269000"/>
    <n v="26631000"/>
    <x v="0"/>
    <s v="Kredit - Mandiri Tunas"/>
    <s v="Lunas"/>
    <s v="Pameran"/>
  </r>
  <r>
    <s v="TRX-1067"/>
    <d v="2026-07-14T00:00:00"/>
    <x v="8"/>
    <x v="7"/>
    <s v="Oscar Saputra"/>
    <s v="P001"/>
    <x v="0"/>
    <n v="2"/>
    <n v="33500000"/>
    <n v="670000"/>
    <n v="66330000"/>
    <x v="0"/>
    <s v="Cash"/>
    <s v="Lunas"/>
    <s v="Pameran"/>
  </r>
  <r>
    <s v="TRX-1222"/>
    <d v="2026-07-17T00:00:00"/>
    <x v="10"/>
    <x v="7"/>
    <s v="Nia Wijaya"/>
    <s v="P007"/>
    <x v="3"/>
    <n v="1"/>
    <n v="41000000"/>
    <n v="0"/>
    <n v="41000000"/>
    <x v="0"/>
    <s v="Kredit - Mandiri Tunas"/>
    <s v="Proses Kredit"/>
    <s v="Referral"/>
  </r>
  <r>
    <s v="TRX-1176"/>
    <d v="2026-07-16T00:00:00"/>
    <x v="9"/>
    <x v="18"/>
    <s v="Tono Lestari"/>
    <s v="P004"/>
    <x v="8"/>
    <n v="1"/>
    <n v="18900000"/>
    <n v="0"/>
    <n v="18900000"/>
    <x v="0"/>
    <s v="Kredit - Mandiri Tunas"/>
    <s v="Lunas"/>
    <s v="Online - Website"/>
  </r>
  <r>
    <s v="TRX-1332"/>
    <d v="2026-07-19T00:00:00"/>
    <x v="3"/>
    <x v="12"/>
    <s v="Rendi Saputra"/>
    <s v="P001"/>
    <x v="0"/>
    <n v="1"/>
    <n v="33500000"/>
    <n v="0"/>
    <n v="33500000"/>
    <x v="0"/>
    <s v="Debit/Transfer"/>
    <s v="Lunas"/>
    <s v="Referral"/>
  </r>
  <r>
    <s v="TRX-1341"/>
    <d v="2026-07-19T00:00:00"/>
    <x v="1"/>
    <x v="10"/>
    <s v="Tono Ramadhan"/>
    <s v="P001"/>
    <x v="0"/>
    <n v="1"/>
    <n v="33500000"/>
    <n v="335000"/>
    <n v="33165000"/>
    <x v="0"/>
    <s v="Debit/Transfer"/>
    <s v="Lunas"/>
    <s v="Pameran"/>
  </r>
  <r>
    <s v="TRX-1308"/>
    <d v="2026-07-19T00:00:00"/>
    <x v="2"/>
    <x v="8"/>
    <s v="Made Hidayat"/>
    <s v="P009"/>
    <x v="5"/>
    <n v="1"/>
    <n v="26900000"/>
    <n v="269000"/>
    <n v="26631000"/>
    <x v="0"/>
    <s v="Kredit - Adira"/>
    <s v="Lunas"/>
    <s v="Online - Website"/>
  </r>
  <r>
    <s v="TRX-1046"/>
    <d v="2026-07-14T00:00:00"/>
    <x v="2"/>
    <x v="18"/>
    <s v="Putra Hidayat"/>
    <s v="P002"/>
    <x v="6"/>
    <n v="1"/>
    <n v="29800000"/>
    <n v="596000"/>
    <n v="29204000"/>
    <x v="0"/>
    <s v="Kredit - FIF"/>
    <s v="Lunas"/>
    <s v="Referral"/>
  </r>
  <r>
    <s v="TRX-1169"/>
    <d v="2026-07-16T00:00:00"/>
    <x v="8"/>
    <x v="19"/>
    <s v="Irfan Firmansyah"/>
    <s v="P005"/>
    <x v="7"/>
    <n v="1"/>
    <n v="21500000"/>
    <n v="645000"/>
    <n v="20855000"/>
    <x v="0"/>
    <s v="Kredit - Adira"/>
    <s v="Lunas"/>
    <s v="Showroom"/>
  </r>
  <r>
    <s v="TRX-1048"/>
    <d v="2026-07-14T00:00:00"/>
    <x v="2"/>
    <x v="14"/>
    <s v="Siska Hidayat"/>
    <s v="P003"/>
    <x v="9"/>
    <n v="1"/>
    <n v="27400000"/>
    <n v="274000"/>
    <n v="27126000"/>
    <x v="0"/>
    <s v="Debit/Transfer"/>
    <s v="Lunas"/>
    <s v="Referral"/>
  </r>
  <r>
    <s v="TRX-1114"/>
    <d v="2026-07-15T00:00:00"/>
    <x v="4"/>
    <x v="12"/>
    <s v="Made Hidayat"/>
    <s v="P007"/>
    <x v="3"/>
    <n v="1"/>
    <n v="41000000"/>
    <n v="0"/>
    <n v="41000000"/>
    <x v="0"/>
    <s v="Kredit - FIF"/>
    <s v="Lunas"/>
    <s v="Online - Website"/>
  </r>
  <r>
    <s v="TRX-1178"/>
    <d v="2026-07-16T00:00:00"/>
    <x v="9"/>
    <x v="1"/>
    <s v="Made Saputra"/>
    <s v="P001"/>
    <x v="0"/>
    <n v="1"/>
    <n v="33500000"/>
    <n v="1005000"/>
    <n v="32495000"/>
    <x v="0"/>
    <s v="Debit/Transfer"/>
    <s v="Lunas"/>
    <s v="Online - Website"/>
  </r>
  <r>
    <s v="TRX-1319"/>
    <d v="2026-07-19T00:00:00"/>
    <x v="10"/>
    <x v="16"/>
    <s v="Eko Lestari"/>
    <s v="P002"/>
    <x v="6"/>
    <n v="1"/>
    <n v="29800000"/>
    <n v="596000"/>
    <n v="29204000"/>
    <x v="0"/>
    <s v="Kredit - FIF"/>
    <s v="Lunas"/>
    <s v="Pameran"/>
  </r>
  <r>
    <s v="TRX-1041"/>
    <d v="2026-07-14T00:00:00"/>
    <x v="6"/>
    <x v="15"/>
    <s v="Budi Saputra"/>
    <s v="P001"/>
    <x v="0"/>
    <n v="1"/>
    <n v="33500000"/>
    <n v="335000"/>
    <n v="33165000"/>
    <x v="0"/>
    <s v="Kredit - Adira"/>
    <s v="Lunas"/>
    <s v="Online - Website"/>
  </r>
  <r>
    <s v="TRX-1022"/>
    <d v="2026-07-13T00:00:00"/>
    <x v="3"/>
    <x v="10"/>
    <s v="Kevin Pratama"/>
    <s v="P001"/>
    <x v="0"/>
    <n v="1"/>
    <n v="33500000"/>
    <n v="1005000"/>
    <n v="32495000"/>
    <x v="0"/>
    <s v="Cash"/>
    <s v="DP"/>
    <s v="Showroom"/>
  </r>
  <r>
    <s v="TRX-1102"/>
    <d v="2026-07-15T00:00:00"/>
    <x v="6"/>
    <x v="1"/>
    <s v="Lala Lestari"/>
    <s v="P001"/>
    <x v="0"/>
    <n v="1"/>
    <n v="33500000"/>
    <n v="670000"/>
    <n v="32830000"/>
    <x v="0"/>
    <s v="Kredit - FIF"/>
    <s v="Lunas"/>
    <s v="Showroom"/>
  </r>
  <r>
    <s v="TRX-1165"/>
    <d v="2026-07-16T00:00:00"/>
    <x v="10"/>
    <x v="12"/>
    <s v="Kevin Pratama"/>
    <s v="P004"/>
    <x v="8"/>
    <n v="1"/>
    <n v="18900000"/>
    <n v="0"/>
    <n v="18900000"/>
    <x v="0"/>
    <s v="Kredit - Adira"/>
    <s v="Lunas"/>
    <s v="Online - Website"/>
  </r>
  <r>
    <s v="TRX-1070"/>
    <d v="2026-07-14T00:00:00"/>
    <x v="9"/>
    <x v="11"/>
    <s v="Citra Maharani"/>
    <s v="P002"/>
    <x v="6"/>
    <n v="1"/>
    <n v="29800000"/>
    <n v="894000"/>
    <n v="28906000"/>
    <x v="0"/>
    <s v="Debit/Transfer"/>
    <s v="Lunas"/>
    <s v="Online - Website"/>
  </r>
  <r>
    <s v="TRX-1054"/>
    <d v="2026-07-14T00:00:00"/>
    <x v="4"/>
    <x v="5"/>
    <s v="Irfan Wijaya"/>
    <s v="P004"/>
    <x v="8"/>
    <n v="1"/>
    <n v="18900000"/>
    <n v="945000"/>
    <n v="17955000"/>
    <x v="0"/>
    <s v="Kredit - Adira"/>
    <s v="Lunas"/>
    <s v="Showroom"/>
  </r>
  <r>
    <s v="TRX-1138"/>
    <d v="2026-07-15T00:00:00"/>
    <x v="0"/>
    <x v="3"/>
    <s v="Fitri Firmansyah"/>
    <s v="P005"/>
    <x v="7"/>
    <n v="2"/>
    <n v="21500000"/>
    <n v="1290000"/>
    <n v="41710000"/>
    <x v="0"/>
    <s v="Kredit - Adira"/>
    <s v="Lunas"/>
    <s v="Online - Website"/>
  </r>
  <r>
    <s v="TRX-1025"/>
    <d v="2026-07-13T00:00:00"/>
    <x v="7"/>
    <x v="13"/>
    <s v="Eko Pratama"/>
    <s v="P006"/>
    <x v="4"/>
    <n v="1"/>
    <n v="17800000"/>
    <n v="178000"/>
    <n v="17622000"/>
    <x v="0"/>
    <s v="Kredit - Mandiri Tunas"/>
    <s v="Proses Kredit"/>
    <s v="Showroom"/>
  </r>
  <r>
    <s v="TRX-1297"/>
    <d v="2026-07-18T00:00:00"/>
    <x v="1"/>
    <x v="15"/>
    <s v="Galih Ramadhan"/>
    <s v="P001"/>
    <x v="0"/>
    <n v="2"/>
    <n v="33500000"/>
    <n v="2010000"/>
    <n v="64990000"/>
    <x v="0"/>
    <s v="Cash"/>
    <s v="Lunas"/>
    <s v="Online - Website"/>
  </r>
  <r>
    <s v="TRX-1188"/>
    <d v="2026-07-16T00:00:00"/>
    <x v="7"/>
    <x v="14"/>
    <s v="Rendi Kusuma"/>
    <s v="P005"/>
    <x v="7"/>
    <n v="1"/>
    <n v="21500000"/>
    <n v="0"/>
    <n v="21500000"/>
    <x v="0"/>
    <s v="Kredit - Adira"/>
    <s v="Lunas"/>
    <s v="Pameran"/>
  </r>
  <r>
    <s v="TRX-1185"/>
    <d v="2026-07-16T00:00:00"/>
    <x v="3"/>
    <x v="18"/>
    <s v="Kevin Ramadhan"/>
    <s v="P005"/>
    <x v="7"/>
    <n v="1"/>
    <n v="21500000"/>
    <n v="1075000"/>
    <n v="20425000"/>
    <x v="0"/>
    <s v="Debit/Transfer"/>
    <s v="Lunas"/>
    <s v="Online - Website"/>
  </r>
  <r>
    <s v="TRX-1135"/>
    <d v="2026-07-15T00:00:00"/>
    <x v="7"/>
    <x v="6"/>
    <s v="Lala Kusuma"/>
    <s v="P001"/>
    <x v="0"/>
    <n v="1"/>
    <n v="33500000"/>
    <n v="335000"/>
    <n v="33165000"/>
    <x v="0"/>
    <s v="Cash"/>
    <s v="Lunas"/>
    <s v="Showroom"/>
  </r>
  <r>
    <s v="TRX-1262"/>
    <d v="2026-07-18T00:00:00"/>
    <x v="10"/>
    <x v="18"/>
    <s v="Nia Saputra"/>
    <s v="P003"/>
    <x v="9"/>
    <n v="1"/>
    <n v="27400000"/>
    <n v="0"/>
    <n v="27400000"/>
    <x v="0"/>
    <s v="Kredit - FIF"/>
    <s v="Lunas"/>
    <s v="Pameran"/>
  </r>
  <r>
    <s v="TRX-1117"/>
    <d v="2026-07-15T00:00:00"/>
    <x v="10"/>
    <x v="3"/>
    <s v="Kevin Lestari"/>
    <s v="P001"/>
    <x v="0"/>
    <n v="1"/>
    <n v="33500000"/>
    <n v="335000"/>
    <n v="33165000"/>
    <x v="0"/>
    <s v="Kredit - Mandiri Tunas"/>
    <s v="Lunas"/>
    <s v="Pameran"/>
  </r>
  <r>
    <s v="TRX-1323"/>
    <d v="2026-07-19T00:00:00"/>
    <x v="10"/>
    <x v="1"/>
    <s v="Budi Kusuma"/>
    <s v="P001"/>
    <x v="0"/>
    <n v="1"/>
    <n v="33500000"/>
    <n v="335000"/>
    <n v="33165000"/>
    <x v="0"/>
    <s v="Kredit - Adira"/>
    <s v="Lunas"/>
    <s v="Pameran"/>
  </r>
  <r>
    <s v="TRX-1143"/>
    <d v="2026-07-16T00:00:00"/>
    <x v="11"/>
    <x v="4"/>
    <s v="Siska Pratama"/>
    <s v="P008"/>
    <x v="2"/>
    <n v="1"/>
    <n v="24600000"/>
    <n v="738000"/>
    <n v="23862000"/>
    <x v="0"/>
    <s v="Cash"/>
    <s v="Lunas"/>
    <s v="Showroom"/>
  </r>
  <r>
    <s v="TRX-1299"/>
    <d v="2026-07-19T00:00:00"/>
    <x v="11"/>
    <x v="1"/>
    <s v="Siska Saputra"/>
    <s v="P001"/>
    <x v="0"/>
    <n v="1"/>
    <n v="33500000"/>
    <n v="1005000"/>
    <n v="0"/>
    <x v="1"/>
    <s v="Debit/Transfer"/>
    <s v="Lunas"/>
    <s v="Showroom"/>
  </r>
  <r>
    <s v="TRX-1285"/>
    <d v="2026-07-18T00:00:00"/>
    <x v="0"/>
    <x v="1"/>
    <s v="Qori Lestari"/>
    <s v="P010"/>
    <x v="1"/>
    <n v="1"/>
    <n v="22300000"/>
    <n v="0"/>
    <n v="22300000"/>
    <x v="0"/>
    <s v="Debit/Transfer"/>
    <s v="Lunas"/>
    <s v="Online - Website"/>
  </r>
  <r>
    <s v="TRX-1236"/>
    <d v="2026-07-17T00:00:00"/>
    <x v="0"/>
    <x v="16"/>
    <s v="Putra Kusuma"/>
    <s v="P005"/>
    <x v="7"/>
    <n v="1"/>
    <n v="21500000"/>
    <n v="645000"/>
    <n v="20855000"/>
    <x v="0"/>
    <s v="Kredit - FIF"/>
    <s v="Lunas"/>
    <s v="Online - Website"/>
  </r>
  <r>
    <s v="TRX-1057"/>
    <d v="2026-07-14T00:00:00"/>
    <x v="4"/>
    <x v="2"/>
    <s v="Putra Anggraini"/>
    <s v="P001"/>
    <x v="0"/>
    <n v="1"/>
    <n v="33500000"/>
    <n v="1675000"/>
    <n v="31825000"/>
    <x v="0"/>
    <s v="Kredit - FIF"/>
    <s v="Lunas"/>
    <s v="Referral"/>
  </r>
  <r>
    <s v="TRX-1062"/>
    <d v="2026-07-14T00:00:00"/>
    <x v="10"/>
    <x v="1"/>
    <s v="Fitri Lestari"/>
    <s v="P003"/>
    <x v="9"/>
    <n v="1"/>
    <n v="27400000"/>
    <n v="0"/>
    <n v="27400000"/>
    <x v="0"/>
    <s v="Kredit - Adira"/>
    <s v="Lunas"/>
    <s v="Showroom"/>
  </r>
  <r>
    <s v="TRX-1275"/>
    <d v="2026-07-18T00:00:00"/>
    <x v="9"/>
    <x v="16"/>
    <s v="Siska Anggraini"/>
    <s v="P001"/>
    <x v="0"/>
    <n v="1"/>
    <n v="33500000"/>
    <n v="0"/>
    <n v="33500000"/>
    <x v="0"/>
    <s v="Kredit - Adira"/>
    <s v="Lunas"/>
    <s v="Pameran"/>
  </r>
  <r>
    <s v="TRX-1226"/>
    <d v="2026-07-17T00:00:00"/>
    <x v="9"/>
    <x v="7"/>
    <s v="Siska Ramadhan"/>
    <s v="P008"/>
    <x v="2"/>
    <n v="1"/>
    <n v="24600000"/>
    <n v="246000"/>
    <n v="24354000"/>
    <x v="0"/>
    <s v="Kredit - Mandiri Tunas"/>
    <s v="Lunas"/>
    <s v="Online - Website"/>
  </r>
  <r>
    <s v="TRX-1228"/>
    <d v="2026-07-17T00:00:00"/>
    <x v="3"/>
    <x v="0"/>
    <s v="Made Hidayat"/>
    <s v="P001"/>
    <x v="0"/>
    <n v="1"/>
    <n v="33500000"/>
    <n v="1005000"/>
    <n v="32495000"/>
    <x v="0"/>
    <s v="Debit/Transfer"/>
    <s v="Lunas"/>
    <s v="Referral"/>
  </r>
  <r>
    <s v="TRX-1085"/>
    <d v="2026-07-14T00:00:00"/>
    <x v="0"/>
    <x v="16"/>
    <s v="Kevin Ramadhan"/>
    <s v="P005"/>
    <x v="7"/>
    <n v="1"/>
    <n v="21500000"/>
    <n v="215000"/>
    <n v="21285000"/>
    <x v="0"/>
    <s v="Debit/Transfer"/>
    <s v="Lunas"/>
    <s v="Pameran"/>
  </r>
  <r>
    <s v="TRX-1182"/>
    <d v="2026-07-16T00:00:00"/>
    <x v="3"/>
    <x v="16"/>
    <s v="Rendi Kusuma"/>
    <s v="P002"/>
    <x v="6"/>
    <n v="1"/>
    <n v="29800000"/>
    <n v="596000"/>
    <n v="29204000"/>
    <x v="0"/>
    <s v="Kredit - Adira"/>
    <s v="Lunas"/>
    <s v="Pameran"/>
  </r>
  <r>
    <s v="TRX-1233"/>
    <d v="2026-07-17T00:00:00"/>
    <x v="0"/>
    <x v="17"/>
    <s v="Lala Ramadhan"/>
    <s v="P006"/>
    <x v="4"/>
    <n v="1"/>
    <n v="17800000"/>
    <n v="0"/>
    <n v="17800000"/>
    <x v="0"/>
    <s v="Kredit - Adira"/>
    <s v="Lunas"/>
    <s v="Online - Website"/>
  </r>
  <r>
    <s v="TRX-1268"/>
    <d v="2026-07-18T00:00:00"/>
    <x v="8"/>
    <x v="3"/>
    <s v="Irfan Firmansyah"/>
    <s v="P005"/>
    <x v="7"/>
    <n v="1"/>
    <n v="21500000"/>
    <n v="215000"/>
    <n v="21285000"/>
    <x v="0"/>
    <s v="Cash"/>
    <s v="Lunas"/>
    <s v="Showroom"/>
  </r>
  <r>
    <s v="TRX-1294"/>
    <d v="2026-07-18T00:00:00"/>
    <x v="1"/>
    <x v="6"/>
    <s v="Galih Maharani"/>
    <s v="P001"/>
    <x v="0"/>
    <n v="1"/>
    <n v="33500000"/>
    <n v="0"/>
    <n v="33500000"/>
    <x v="0"/>
    <s v="Cash"/>
    <s v="Proses Kredit"/>
    <s v="Referral"/>
  </r>
  <r>
    <s v="TRX-1220"/>
    <d v="2026-07-17T00:00:00"/>
    <x v="4"/>
    <x v="17"/>
    <s v="Citra Maharani"/>
    <s v="P001"/>
    <x v="0"/>
    <n v="1"/>
    <n v="33500000"/>
    <n v="1005000"/>
    <n v="32495000"/>
    <x v="0"/>
    <s v="Cash"/>
    <s v="Lunas"/>
    <s v="Showroom"/>
  </r>
  <r>
    <s v="TRX-1119"/>
    <d v="2026-07-15T00:00:00"/>
    <x v="10"/>
    <x v="7"/>
    <s v="Nia Kusuma"/>
    <s v="P002"/>
    <x v="6"/>
    <n v="1"/>
    <n v="29800000"/>
    <n v="1490000"/>
    <n v="28310000"/>
    <x v="0"/>
    <s v="Kredit - FIF"/>
    <s v="Lunas"/>
    <s v="Pameran"/>
  </r>
  <r>
    <s v="TRX-1261"/>
    <d v="2026-07-18T00:00:00"/>
    <x v="10"/>
    <x v="6"/>
    <s v="Siska Lestari"/>
    <s v="P002"/>
    <x v="6"/>
    <n v="1"/>
    <n v="29800000"/>
    <n v="298000"/>
    <n v="29502000"/>
    <x v="0"/>
    <s v="Debit/Transfer"/>
    <s v="Lunas"/>
    <s v="Showroom"/>
  </r>
  <r>
    <s v="TRX-1171"/>
    <d v="2026-07-16T00:00:00"/>
    <x v="8"/>
    <x v="15"/>
    <s v="Budi Wijaya"/>
    <s v="P010"/>
    <x v="1"/>
    <n v="1"/>
    <n v="22300000"/>
    <n v="1115000"/>
    <n v="21185000"/>
    <x v="0"/>
    <s v="Cash"/>
    <s v="Lunas"/>
    <s v="Showroom"/>
  </r>
  <r>
    <s v="TRX-1146"/>
    <d v="2026-07-16T00:00:00"/>
    <x v="6"/>
    <x v="20"/>
    <s v="Tono Wijaya"/>
    <s v="P009"/>
    <x v="5"/>
    <n v="2"/>
    <n v="26900000"/>
    <n v="538000"/>
    <n v="53262000"/>
    <x v="0"/>
    <s v="Debit/Transfer"/>
    <s v="Lunas"/>
    <s v="Pameran"/>
  </r>
  <r>
    <s v="TRX-1302"/>
    <d v="2026-07-19T00:00:00"/>
    <x v="6"/>
    <x v="13"/>
    <s v="Qori Kusuma"/>
    <s v="P001"/>
    <x v="0"/>
    <n v="1"/>
    <n v="33500000"/>
    <n v="1675000"/>
    <n v="31825000"/>
    <x v="0"/>
    <s v="Debit/Transfer"/>
    <s v="Lunas"/>
    <s v="Showroom"/>
  </r>
  <r>
    <s v="TRX-1055"/>
    <d v="2026-07-14T00:00:00"/>
    <x v="4"/>
    <x v="14"/>
    <s v="Jihan Anggraini"/>
    <s v="P003"/>
    <x v="9"/>
    <n v="1"/>
    <n v="27400000"/>
    <n v="548000"/>
    <n v="26852000"/>
    <x v="0"/>
    <s v="Debit/Transfer"/>
    <s v="Lunas"/>
    <s v="Online - Website"/>
  </r>
  <r>
    <s v="TRX-1177"/>
    <d v="2026-07-16T00:00:00"/>
    <x v="9"/>
    <x v="10"/>
    <s v="Irfan Wijaya"/>
    <s v="P006"/>
    <x v="4"/>
    <n v="1"/>
    <n v="17800000"/>
    <n v="0"/>
    <n v="17800000"/>
    <x v="0"/>
    <s v="Debit/Transfer"/>
    <s v="Lunas"/>
    <s v="Pameran"/>
  </r>
  <r>
    <s v="TRX-1311"/>
    <d v="2026-07-19T00:00:00"/>
    <x v="5"/>
    <x v="18"/>
    <s v="Lala Maharani"/>
    <s v="P008"/>
    <x v="2"/>
    <n v="1"/>
    <n v="24600000"/>
    <n v="738000"/>
    <n v="23862000"/>
    <x v="0"/>
    <s v="Kredit - FIF"/>
    <s v="Lunas"/>
    <s v="Pameran"/>
  </r>
  <r>
    <s v="TRX-1195"/>
    <d v="2026-07-16T00:00:00"/>
    <x v="1"/>
    <x v="12"/>
    <s v="Dewi Maharani"/>
    <s v="P004"/>
    <x v="8"/>
    <n v="1"/>
    <n v="18900000"/>
    <n v="378000"/>
    <n v="18522000"/>
    <x v="0"/>
    <s v="Debit/Transfer"/>
    <s v="Lunas"/>
    <s v="Showroom"/>
  </r>
  <r>
    <s v="TRX-1199"/>
    <d v="2026-07-17T00:00:00"/>
    <x v="11"/>
    <x v="6"/>
    <s v="Made Anggraini"/>
    <s v="P008"/>
    <x v="2"/>
    <n v="1"/>
    <n v="24600000"/>
    <n v="0"/>
    <n v="24600000"/>
    <x v="0"/>
    <s v="Cash"/>
    <s v="Lunas"/>
    <s v="Showroom"/>
  </r>
  <r>
    <s v="TRX-1215"/>
    <d v="2026-07-17T00:00:00"/>
    <x v="2"/>
    <x v="17"/>
    <s v="Eko Kusuma"/>
    <s v="P001"/>
    <x v="0"/>
    <n v="1"/>
    <n v="33500000"/>
    <n v="0"/>
    <n v="33500000"/>
    <x v="0"/>
    <s v="Kredit - Mandiri Tunas"/>
    <s v="DP"/>
    <s v="Online - Website"/>
  </r>
  <r>
    <s v="TRX-1235"/>
    <d v="2026-07-17T00:00:00"/>
    <x v="0"/>
    <x v="20"/>
    <s v="Siska Ramadhan"/>
    <s v="P002"/>
    <x v="6"/>
    <n v="1"/>
    <n v="29800000"/>
    <n v="0"/>
    <n v="29800000"/>
    <x v="0"/>
    <s v="Cash"/>
    <s v="Lunas"/>
    <s v="Online - Website"/>
  </r>
  <r>
    <s v="TRX-1273"/>
    <d v="2026-07-18T00:00:00"/>
    <x v="9"/>
    <x v="9"/>
    <s v="Budi Saputra"/>
    <s v="P002"/>
    <x v="6"/>
    <n v="1"/>
    <n v="29800000"/>
    <n v="596000"/>
    <n v="29204000"/>
    <x v="0"/>
    <s v="Kredit - Mandiri Tunas"/>
    <s v="Lunas"/>
    <s v="Referral"/>
  </r>
  <r>
    <s v="TRX-1183"/>
    <d v="2026-07-16T00:00:00"/>
    <x v="3"/>
    <x v="13"/>
    <s v="Eko Lestari"/>
    <s v="P007"/>
    <x v="3"/>
    <n v="1"/>
    <n v="41000000"/>
    <n v="0"/>
    <n v="41000000"/>
    <x v="0"/>
    <s v="Cash"/>
    <s v="Lunas"/>
    <s v="Pameran"/>
  </r>
  <r>
    <s v="TRX-1252"/>
    <d v="2026-07-18T00:00:00"/>
    <x v="5"/>
    <x v="5"/>
    <s v="Galih Saputra"/>
    <s v="P007"/>
    <x v="3"/>
    <n v="1"/>
    <n v="41000000"/>
    <n v="1230000"/>
    <n v="39770000"/>
    <x v="0"/>
    <s v="Kredit - Adira"/>
    <s v="Lunas"/>
    <s v="Referral"/>
  </r>
  <r>
    <s v="TRX-1099"/>
    <d v="2026-07-15T00:00:00"/>
    <x v="6"/>
    <x v="6"/>
    <s v="Citra Anggraini"/>
    <s v="P005"/>
    <x v="7"/>
    <n v="2"/>
    <n v="21500000"/>
    <n v="430000"/>
    <n v="42570000"/>
    <x v="0"/>
    <s v="Kredit - FIF"/>
    <s v="Lunas"/>
    <s v="Showroom"/>
  </r>
  <r>
    <s v="TRX-1104"/>
    <d v="2026-07-15T00:00:00"/>
    <x v="6"/>
    <x v="6"/>
    <s v="Qori Wijaya"/>
    <s v="P005"/>
    <x v="7"/>
    <n v="1"/>
    <n v="21500000"/>
    <n v="215000"/>
    <n v="21285000"/>
    <x v="0"/>
    <s v="Kredit - Adira"/>
    <s v="Lunas"/>
    <s v="Online - Website"/>
  </r>
  <r>
    <s v="TRX-1284"/>
    <d v="2026-07-18T00:00:00"/>
    <x v="0"/>
    <x v="8"/>
    <s v="Nia Maharani"/>
    <s v="P001"/>
    <x v="0"/>
    <n v="1"/>
    <n v="33500000"/>
    <n v="1005000"/>
    <n v="32495000"/>
    <x v="0"/>
    <s v="Kredit - Mandiri Tunas"/>
    <s v="Lunas"/>
    <s v="Referral"/>
  </r>
  <r>
    <s v="TRX-1131"/>
    <d v="2026-07-15T00:00:00"/>
    <x v="7"/>
    <x v="9"/>
    <s v="Made Maharani"/>
    <s v="P002"/>
    <x v="6"/>
    <n v="1"/>
    <n v="29800000"/>
    <n v="596000"/>
    <n v="29204000"/>
    <x v="0"/>
    <s v="Kredit - FIF"/>
    <s v="Proses Kredit"/>
    <s v="Referral"/>
  </r>
  <r>
    <s v="TRX-1098"/>
    <d v="2026-07-15T00:00:00"/>
    <x v="11"/>
    <x v="14"/>
    <s v="Irfan Pratama"/>
    <s v="P002"/>
    <x v="6"/>
    <n v="2"/>
    <n v="29800000"/>
    <n v="2980000"/>
    <n v="56620000"/>
    <x v="0"/>
    <s v="Kredit - Mandiri Tunas"/>
    <s v="Lunas"/>
    <s v="Pameran"/>
  </r>
  <r>
    <s v="TRX-1321"/>
    <d v="2026-07-19T00:00:00"/>
    <x v="10"/>
    <x v="0"/>
    <s v="Lala Maharani"/>
    <s v="P001"/>
    <x v="0"/>
    <n v="1"/>
    <n v="33500000"/>
    <n v="1005000"/>
    <n v="32495000"/>
    <x v="0"/>
    <s v="Kredit - Mandiri Tunas"/>
    <s v="Lunas"/>
    <s v="Pameran"/>
  </r>
  <r>
    <s v="TRX-1083"/>
    <d v="2026-07-14T00:00:00"/>
    <x v="7"/>
    <x v="8"/>
    <s v="Citra Anggraini"/>
    <s v="P001"/>
    <x v="0"/>
    <n v="1"/>
    <n v="33500000"/>
    <n v="0"/>
    <n v="33500000"/>
    <x v="0"/>
    <s v="Cash"/>
    <s v="Lunas"/>
    <s v="Pameran"/>
  </r>
  <r>
    <s v="TRX-1246"/>
    <d v="2026-07-18T00:00:00"/>
    <x v="2"/>
    <x v="1"/>
    <s v="Citra Wijaya"/>
    <s v="P006"/>
    <x v="4"/>
    <n v="1"/>
    <n v="17800000"/>
    <n v="890000"/>
    <n v="16910000"/>
    <x v="0"/>
    <s v="Kredit - FIF"/>
    <s v="Lunas"/>
    <s v="Pameran"/>
  </r>
  <r>
    <s v="TRX-1234"/>
    <d v="2026-07-17T00:00:00"/>
    <x v="0"/>
    <x v="6"/>
    <s v="Rendi Maharani"/>
    <s v="P006"/>
    <x v="4"/>
    <n v="1"/>
    <n v="17800000"/>
    <n v="890000"/>
    <n v="16910000"/>
    <x v="0"/>
    <s v="Kredit - Adira"/>
    <s v="Lunas"/>
    <s v="Pameran"/>
  </r>
  <r>
    <s v="TRX-1061"/>
    <d v="2026-07-14T00:00:00"/>
    <x v="10"/>
    <x v="8"/>
    <s v="Putra Anggraini"/>
    <s v="P005"/>
    <x v="7"/>
    <n v="1"/>
    <n v="21500000"/>
    <n v="430000"/>
    <n v="21070000"/>
    <x v="0"/>
    <s v="Kredit - Adira"/>
    <s v="Lunas"/>
    <s v="Referral"/>
  </r>
  <r>
    <s v="TRX-1095"/>
    <d v="2026-07-15T00:00:00"/>
    <x v="11"/>
    <x v="15"/>
    <s v="Budi Ramadhan"/>
    <s v="P006"/>
    <x v="4"/>
    <n v="1"/>
    <n v="17800000"/>
    <n v="890000"/>
    <n v="16910000"/>
    <x v="0"/>
    <s v="Debit/Transfer"/>
    <s v="DP"/>
    <s v="Pameran"/>
  </r>
  <r>
    <s v="TRX-1194"/>
    <d v="2026-07-16T00:00:00"/>
    <x v="1"/>
    <x v="12"/>
    <s v="Siska Saputra"/>
    <s v="P003"/>
    <x v="9"/>
    <n v="1"/>
    <n v="27400000"/>
    <n v="1370000"/>
    <n v="26030000"/>
    <x v="0"/>
    <s v="Kredit - FIF"/>
    <s v="Lunas"/>
    <s v="Online - Website"/>
  </r>
  <r>
    <s v="TRX-1141"/>
    <d v="2026-07-16T00:00:00"/>
    <x v="11"/>
    <x v="5"/>
    <s v="Putra Hidayat"/>
    <s v="P002"/>
    <x v="6"/>
    <n v="1"/>
    <n v="29800000"/>
    <n v="298000"/>
    <n v="29502000"/>
    <x v="0"/>
    <s v="Debit/Transfer"/>
    <s v="Lunas"/>
    <s v="Pameran"/>
  </r>
  <r>
    <s v="TRX-1161"/>
    <d v="2026-07-16T00:00:00"/>
    <x v="4"/>
    <x v="10"/>
    <s v="Eko Anggraini"/>
    <s v="P001"/>
    <x v="0"/>
    <n v="1"/>
    <n v="33500000"/>
    <n v="0"/>
    <n v="33500000"/>
    <x v="0"/>
    <s v="Debit/Transfer"/>
    <s v="Lunas"/>
    <s v="Online - Website"/>
  </r>
  <r>
    <s v="TRX-1149"/>
    <d v="2026-07-16T00:00:00"/>
    <x v="2"/>
    <x v="2"/>
    <s v="Hana Saputra"/>
    <s v="P010"/>
    <x v="1"/>
    <n v="1"/>
    <n v="22300000"/>
    <n v="1115000"/>
    <n v="21185000"/>
    <x v="0"/>
    <s v="Kredit - Mandiri Tunas"/>
    <s v="Lunas"/>
    <s v="Referral"/>
  </r>
  <r>
    <s v="TRX-1221"/>
    <d v="2026-07-17T00:00:00"/>
    <x v="10"/>
    <x v="6"/>
    <s v="Made Hidayat"/>
    <s v="P005"/>
    <x v="7"/>
    <n v="1"/>
    <n v="21500000"/>
    <n v="215000"/>
    <n v="21285000"/>
    <x v="0"/>
    <s v="Kredit - Adira"/>
    <s v="Lunas"/>
    <s v="Online - Website"/>
  </r>
  <r>
    <s v="TRX-1203"/>
    <d v="2026-07-17T00:00:00"/>
    <x v="11"/>
    <x v="2"/>
    <s v="Fitri Saputra"/>
    <s v="P008"/>
    <x v="2"/>
    <n v="1"/>
    <n v="24600000"/>
    <n v="0"/>
    <n v="24600000"/>
    <x v="0"/>
    <s v="Cash"/>
    <s v="Lunas"/>
    <s v="Showroom"/>
  </r>
  <r>
    <s v="TRX-1153"/>
    <d v="2026-07-16T00:00:00"/>
    <x v="5"/>
    <x v="7"/>
    <s v="Rendi Anggraini"/>
    <s v="P003"/>
    <x v="9"/>
    <n v="1"/>
    <n v="27400000"/>
    <n v="0"/>
    <n v="27400000"/>
    <x v="0"/>
    <s v="Kredit - Mandiri Tunas"/>
    <s v="Lunas"/>
    <s v="Referral"/>
  </r>
  <r>
    <s v="TRX-1313"/>
    <d v="2026-07-19T00:00:00"/>
    <x v="5"/>
    <x v="11"/>
    <s v="Dewi Pratama"/>
    <s v="P001"/>
    <x v="0"/>
    <n v="1"/>
    <n v="33500000"/>
    <n v="0"/>
    <n v="33500000"/>
    <x v="0"/>
    <s v="Kredit - Mandiri Tunas"/>
    <s v="Lunas"/>
    <s v="Pameran"/>
  </r>
  <r>
    <s v="TRX-1136"/>
    <d v="2026-07-15T00:00:00"/>
    <x v="7"/>
    <x v="4"/>
    <s v="Qori Kusuma"/>
    <s v="P001"/>
    <x v="0"/>
    <n v="1"/>
    <n v="33500000"/>
    <n v="670000"/>
    <n v="32830000"/>
    <x v="0"/>
    <s v="Kredit - Mandiri Tunas"/>
    <s v="Lunas"/>
    <s v="Referral"/>
  </r>
  <r>
    <s v="TRX-1082"/>
    <d v="2026-07-14T00:00:00"/>
    <x v="7"/>
    <x v="11"/>
    <s v="Ahmad Kusuma"/>
    <s v="P008"/>
    <x v="2"/>
    <n v="1"/>
    <n v="24600000"/>
    <n v="0"/>
    <n v="24600000"/>
    <x v="0"/>
    <s v="Debit/Transfer"/>
    <s v="Lunas"/>
    <s v="Referral"/>
  </r>
  <r>
    <s v="TRX-1125"/>
    <d v="2026-07-15T00:00:00"/>
    <x v="3"/>
    <x v="12"/>
    <s v="Nia Maharani"/>
    <s v="P005"/>
    <x v="7"/>
    <n v="1"/>
    <n v="21500000"/>
    <n v="215000"/>
    <n v="21285000"/>
    <x v="0"/>
    <s v="Debit/Transfer"/>
    <s v="Proses Kredit"/>
    <s v="Referral"/>
  </r>
  <r>
    <s v="TRX-1024"/>
    <d v="2026-07-13T00:00:00"/>
    <x v="7"/>
    <x v="13"/>
    <s v="Jihan Hidayat"/>
    <s v="P004"/>
    <x v="8"/>
    <n v="1"/>
    <n v="18900000"/>
    <n v="567000"/>
    <n v="18333000"/>
    <x v="0"/>
    <s v="Kredit - FIF"/>
    <s v="Lunas"/>
    <s v="Online - Website"/>
  </r>
  <r>
    <s v="TRX-1011"/>
    <d v="2026-07-13T00:00:00"/>
    <x v="5"/>
    <x v="4"/>
    <s v="Rendi Kusuma"/>
    <s v="P008"/>
    <x v="2"/>
    <n v="2"/>
    <n v="24600000"/>
    <n v="1476000"/>
    <n v="47724000"/>
    <x v="0"/>
    <s v="Kredit - Adira"/>
    <s v="DP"/>
    <s v="Online - Website"/>
  </r>
  <r>
    <s v="TRX-1014"/>
    <d v="2026-07-13T00:00:00"/>
    <x v="5"/>
    <x v="12"/>
    <s v="Galih Wijaya"/>
    <s v="P006"/>
    <x v="4"/>
    <n v="1"/>
    <n v="17800000"/>
    <n v="534000"/>
    <n v="17266000"/>
    <x v="0"/>
    <s v="Kredit - Mandiri Tunas"/>
    <s v="Lunas"/>
    <s v="Pameran"/>
  </r>
  <r>
    <s v="TRX-1097"/>
    <d v="2026-07-15T00:00:00"/>
    <x v="11"/>
    <x v="10"/>
    <s v="Hana Hidayat"/>
    <s v="P003"/>
    <x v="9"/>
    <n v="1"/>
    <n v="27400000"/>
    <n v="0"/>
    <n v="27400000"/>
    <x v="0"/>
    <s v="Kredit - Adira"/>
    <s v="Lunas"/>
    <s v="Referral"/>
  </r>
  <r>
    <s v="TRX-1211"/>
    <d v="2026-07-17T00:00:00"/>
    <x v="2"/>
    <x v="15"/>
    <s v="Nia Pratama"/>
    <s v="P003"/>
    <x v="9"/>
    <n v="1"/>
    <n v="27400000"/>
    <n v="1370000"/>
    <n v="26030000"/>
    <x v="0"/>
    <s v="Cash"/>
    <s v="Lunas"/>
    <s v="Pameran"/>
  </r>
  <r>
    <s v="TRX-1333"/>
    <d v="2026-07-19T00:00:00"/>
    <x v="3"/>
    <x v="14"/>
    <s v="Eko Saputra"/>
    <s v="P004"/>
    <x v="8"/>
    <n v="2"/>
    <n v="18900000"/>
    <n v="1134000"/>
    <n v="36666000"/>
    <x v="0"/>
    <s v="Kredit - Mandiri Tunas"/>
    <s v="Lunas"/>
    <s v="Online - Website"/>
  </r>
  <r>
    <s v="TRX-1241"/>
    <d v="2026-07-18T00:00:00"/>
    <x v="11"/>
    <x v="16"/>
    <s v="Putra Kusuma"/>
    <s v="P005"/>
    <x v="7"/>
    <n v="1"/>
    <n v="21500000"/>
    <n v="0"/>
    <n v="21500000"/>
    <x v="0"/>
    <s v="Debit/Transfer"/>
    <s v="Lunas"/>
    <s v="Pameran"/>
  </r>
  <r>
    <s v="TRX-1058"/>
    <d v="2026-07-14T00:00:00"/>
    <x v="4"/>
    <x v="16"/>
    <s v="Ahmad Lestari"/>
    <s v="P001"/>
    <x v="0"/>
    <n v="1"/>
    <n v="33500000"/>
    <n v="1675000"/>
    <n v="31825000"/>
    <x v="0"/>
    <s v="Kredit - Mandiri Tunas"/>
    <s v="Lunas"/>
    <s v="Pameran"/>
  </r>
  <r>
    <s v="TRX-1037"/>
    <d v="2026-07-14T00:00:00"/>
    <x v="11"/>
    <x v="6"/>
    <s v="Nia Saputra"/>
    <s v="P006"/>
    <x v="4"/>
    <n v="1"/>
    <n v="17800000"/>
    <n v="0"/>
    <n v="17800000"/>
    <x v="0"/>
    <s v="Cash"/>
    <s v="Lunas"/>
    <s v="Pameran"/>
  </r>
  <r>
    <s v="TRX-1312"/>
    <d v="2026-07-19T00:00:00"/>
    <x v="5"/>
    <x v="17"/>
    <s v="Unknown"/>
    <s v="P010"/>
    <x v="1"/>
    <n v="1"/>
    <n v="22300000"/>
    <n v="446000"/>
    <n v="21854000"/>
    <x v="0"/>
    <s v="Kredit - Adira"/>
    <s v="DP"/>
    <s v="Online - Website"/>
  </r>
  <r>
    <s v="TRX-1021"/>
    <d v="2026-07-13T00:00:00"/>
    <x v="3"/>
    <x v="1"/>
    <s v="Qori Saputra"/>
    <s v="P002"/>
    <x v="6"/>
    <n v="1"/>
    <n v="29800000"/>
    <n v="894000"/>
    <n v="28906000"/>
    <x v="0"/>
    <s v="Kredit - Adira"/>
    <s v="Lunas"/>
    <s v="Referral"/>
  </r>
  <r>
    <s v="TRX-1307"/>
    <d v="2026-07-19T00:00:00"/>
    <x v="2"/>
    <x v="3"/>
    <s v="Rendi Firmansyah"/>
    <s v="P008"/>
    <x v="2"/>
    <n v="1"/>
    <n v="24600000"/>
    <n v="738000"/>
    <n v="23862000"/>
    <x v="0"/>
    <s v="Kredit - Mandiri Tunas"/>
    <s v="Lunas"/>
    <s v="Online - Website"/>
  </r>
  <r>
    <s v="TRX-1076"/>
    <d v="2026-07-14T00:00:00"/>
    <x v="3"/>
    <x v="7"/>
    <s v="Irfan Maharani"/>
    <s v="P001"/>
    <x v="0"/>
    <n v="1"/>
    <n v="33500000"/>
    <n v="335000"/>
    <n v="33165000"/>
    <x v="0"/>
    <s v="Kredit - Mandiri Tunas"/>
    <s v="Lunas"/>
    <s v="Showroom"/>
  </r>
  <r>
    <s v="TRX-1201"/>
    <d v="2026-07-17T00:00:00"/>
    <x v="11"/>
    <x v="13"/>
    <s v="Putra Lestari"/>
    <s v="P008"/>
    <x v="2"/>
    <n v="1"/>
    <n v="24600000"/>
    <n v="492000"/>
    <n v="24108000"/>
    <x v="0"/>
    <s v="Debit/Transfer"/>
    <s v="Lunas"/>
    <s v="Pameran"/>
  </r>
  <r>
    <s v="TRX-1078"/>
    <d v="2026-07-14T00:00:00"/>
    <x v="7"/>
    <x v="4"/>
    <s v="Lala Firmansyah"/>
    <s v="P010"/>
    <x v="1"/>
    <n v="1"/>
    <n v="22300000"/>
    <n v="0"/>
    <n v="22300000"/>
    <x v="0"/>
    <s v="Kredit - Mandiri Tunas"/>
    <s v="Lunas"/>
    <s v="Showroom"/>
  </r>
  <r>
    <s v="TRX-1264"/>
    <d v="2026-07-18T00:00:00"/>
    <x v="10"/>
    <x v="11"/>
    <s v="Citra Kusuma"/>
    <s v="P002"/>
    <x v="6"/>
    <n v="1"/>
    <n v="29800000"/>
    <n v="0"/>
    <n v="29800000"/>
    <x v="0"/>
    <s v="Kredit - Mandiri Tunas"/>
    <s v="Lunas"/>
    <s v="Pameran"/>
  </r>
  <r>
    <s v="TRX-1315"/>
    <d v="2026-07-19T00:00:00"/>
    <x v="4"/>
    <x v="10"/>
    <s v="Galih Anggraini"/>
    <s v="P004"/>
    <x v="8"/>
    <n v="1"/>
    <n v="18900000"/>
    <n v="567000"/>
    <n v="18333000"/>
    <x v="0"/>
    <s v="Kredit - Adira"/>
    <s v="Lunas"/>
    <s v="Online - Website"/>
  </r>
  <r>
    <s v="TRX-1150"/>
    <d v="2026-07-16T00:00:00"/>
    <x v="2"/>
    <x v="14"/>
    <s v="Eko Anggraini"/>
    <s v="P006"/>
    <x v="4"/>
    <n v="1"/>
    <n v="17800000"/>
    <n v="178000"/>
    <n v="17622000"/>
    <x v="0"/>
    <s v="Kredit - FIF"/>
    <s v="Lunas"/>
    <s v="Pameran"/>
  </r>
  <r>
    <s v="TRX-1306"/>
    <d v="2026-07-19T00:00:00"/>
    <x v="2"/>
    <x v="4"/>
    <s v="Galih Lestari"/>
    <s v="P001"/>
    <x v="0"/>
    <n v="1"/>
    <n v="33500000"/>
    <n v="335000"/>
    <n v="33165000"/>
    <x v="0"/>
    <s v="Cash"/>
    <s v="Lunas"/>
    <s v="Showroom"/>
  </r>
  <r>
    <s v="TRX-1003"/>
    <d v="2026-07-13T00:00:00"/>
    <x v="11"/>
    <x v="3"/>
    <s v="Rendi Wijaya"/>
    <s v="P002"/>
    <x v="6"/>
    <n v="1"/>
    <n v="29800000"/>
    <n v="298000"/>
    <n v="29502000"/>
    <x v="0"/>
    <s v="Debit/Transfer"/>
    <s v="Lunas"/>
    <s v="Referral"/>
  </r>
  <r>
    <s v="TRX-1053"/>
    <d v="2026-07-14T00:00:00"/>
    <x v="4"/>
    <x v="1"/>
    <s v="Qori Ramadhan"/>
    <s v="P002"/>
    <x v="6"/>
    <n v="1"/>
    <n v="29800000"/>
    <n v="596000"/>
    <n v="29204000"/>
    <x v="0"/>
    <s v="Kredit - Mandiri Tunas"/>
    <s v="Lunas"/>
    <s v="Referral"/>
  </r>
  <r>
    <s v="TRX-1263"/>
    <d v="2026-07-18T00:00:00"/>
    <x v="10"/>
    <x v="11"/>
    <s v="Putra Hidayat"/>
    <s v="P010"/>
    <x v="1"/>
    <n v="1"/>
    <n v="22300000"/>
    <n v="446000"/>
    <n v="21854000"/>
    <x v="0"/>
    <s v="Cash"/>
    <s v="Lunas"/>
    <s v="Pameran"/>
  </r>
  <r>
    <s v="TRX-1254"/>
    <d v="2026-07-18T00:00:00"/>
    <x v="4"/>
    <x v="3"/>
    <s v="Siska Pratama"/>
    <s v="P006"/>
    <x v="4"/>
    <n v="1"/>
    <n v="17800000"/>
    <n v="178000"/>
    <n v="17622000"/>
    <x v="0"/>
    <s v="Kredit - FIF"/>
    <s v="Lunas"/>
    <s v="Pameran"/>
  </r>
  <r>
    <s v="TRX-1260"/>
    <d v="2026-07-18T00:00:00"/>
    <x v="10"/>
    <x v="9"/>
    <s v="Irfan Firmansyah"/>
    <s v="P008"/>
    <x v="2"/>
    <n v="1"/>
    <n v="24600000"/>
    <n v="738000"/>
    <n v="23862000"/>
    <x v="0"/>
    <s v="Cash"/>
    <s v="Lunas"/>
    <s v="Online - Website"/>
  </r>
  <r>
    <s v="TRX-1184"/>
    <d v="2026-07-16T00:00:00"/>
    <x v="3"/>
    <x v="13"/>
    <s v="Lala Firmansyah"/>
    <s v="P010"/>
    <x v="1"/>
    <n v="1"/>
    <n v="22300000"/>
    <n v="446000"/>
    <n v="21854000"/>
    <x v="0"/>
    <s v="Kredit - FIF"/>
    <s v="DP"/>
    <s v="Online - Website"/>
  </r>
  <r>
    <s v="TRX-1152"/>
    <d v="2026-07-16T00:00:00"/>
    <x v="2"/>
    <x v="0"/>
    <s v="Kevin Firmansyah"/>
    <s v="P001"/>
    <x v="0"/>
    <n v="1"/>
    <n v="33500000"/>
    <n v="1005000"/>
    <n v="32495000"/>
    <x v="0"/>
    <s v="Kredit - Mandiri Tunas"/>
    <s v="Lunas"/>
    <s v="Showroom"/>
  </r>
  <r>
    <s v="TRX-1316"/>
    <d v="2026-07-19T00:00:00"/>
    <x v="4"/>
    <x v="11"/>
    <s v="Qori Lestari"/>
    <s v="P008"/>
    <x v="2"/>
    <n v="1"/>
    <n v="24600000"/>
    <n v="738000"/>
    <n v="23862000"/>
    <x v="0"/>
    <s v="Debit/Transfer"/>
    <s v="Lunas"/>
    <s v="Showroom"/>
  </r>
  <r>
    <s v="TRX-1191"/>
    <d v="2026-07-16T00:00:00"/>
    <x v="1"/>
    <x v="10"/>
    <s v="Siska Wijaya"/>
    <s v="P001"/>
    <x v="0"/>
    <n v="1"/>
    <n v="33500000"/>
    <n v="670000"/>
    <n v="32830000"/>
    <x v="0"/>
    <s v="Kredit - FIF"/>
    <s v="Lunas"/>
    <s v="Showroom"/>
  </r>
  <r>
    <s v="TRX-1075"/>
    <d v="2026-07-14T00:00:00"/>
    <x v="3"/>
    <x v="12"/>
    <s v="Jihan Hidayat"/>
    <s v="P004"/>
    <x v="8"/>
    <n v="1"/>
    <n v="18900000"/>
    <n v="0"/>
    <n v="18900000"/>
    <x v="0"/>
    <s v="Kredit - Mandiri Tunas"/>
    <s v="Lunas"/>
    <s v="Referral"/>
  </r>
  <r>
    <s v="TRX-1244"/>
    <d v="2026-07-18T00:00:00"/>
    <x v="6"/>
    <x v="18"/>
    <s v="Nia Firmansyah"/>
    <s v="P010"/>
    <x v="1"/>
    <n v="1"/>
    <n v="22300000"/>
    <n v="669000"/>
    <n v="21631000"/>
    <x v="0"/>
    <s v="Kredit - Mandiri Tunas"/>
    <s v="DP"/>
    <s v="Referral"/>
  </r>
  <r>
    <s v="TRX-1088"/>
    <d v="2026-07-14T00:00:00"/>
    <x v="0"/>
    <x v="16"/>
    <s v="Rendi Hidayat"/>
    <s v="P006"/>
    <x v="4"/>
    <n v="1"/>
    <n v="17800000"/>
    <n v="0"/>
    <n v="17800000"/>
    <x v="0"/>
    <s v="Cash"/>
    <s v="Lunas"/>
    <s v="Referral"/>
  </r>
  <r>
    <s v="TRX-1240"/>
    <d v="2026-07-18T00:00:00"/>
    <x v="11"/>
    <x v="13"/>
    <s v="Dewi Hidayat"/>
    <s v="P004"/>
    <x v="8"/>
    <n v="1"/>
    <n v="18900000"/>
    <n v="945000"/>
    <n v="17955000"/>
    <x v="0"/>
    <s v="Debit/Transfer"/>
    <s v="Lunas"/>
    <s v="Referral"/>
  </r>
  <r>
    <s v="TRX-1144"/>
    <d v="2026-07-16T00:00:00"/>
    <x v="11"/>
    <x v="19"/>
    <s v="Rendi Kusuma"/>
    <s v="P003"/>
    <x v="9"/>
    <n v="1"/>
    <n v="27400000"/>
    <n v="0"/>
    <n v="27400000"/>
    <x v="0"/>
    <s v="Kredit - Adira"/>
    <s v="DP"/>
    <s v="Referral"/>
  </r>
  <r>
    <s v="TRX-1290"/>
    <d v="2026-07-18T00:00:00"/>
    <x v="0"/>
    <x v="19"/>
    <s v="Irfan Pratama"/>
    <s v="P010"/>
    <x v="1"/>
    <n v="2"/>
    <n v="22300000"/>
    <n v="446000"/>
    <n v="44154000"/>
    <x v="0"/>
    <s v="Kredit - Adira"/>
    <s v="Lunas"/>
    <s v="Referral"/>
  </r>
  <r>
    <s v="TRX-1267"/>
    <d v="2026-07-18T00:00:00"/>
    <x v="8"/>
    <x v="11"/>
    <s v="Made Saputra"/>
    <s v="P002"/>
    <x v="6"/>
    <n v="1"/>
    <n v="29800000"/>
    <n v="298000"/>
    <n v="29502000"/>
    <x v="0"/>
    <s v="Kredit - Adira"/>
    <s v="Lunas"/>
    <s v="Showroom"/>
  </r>
  <r>
    <s v="TRX-1137"/>
    <d v="2026-07-15T00:00:00"/>
    <x v="7"/>
    <x v="16"/>
    <s v="Ahmad Hidayat"/>
    <s v="P005"/>
    <x v="7"/>
    <n v="1"/>
    <n v="21500000"/>
    <n v="645000"/>
    <n v="20855000"/>
    <x v="0"/>
    <s v="Debit/Transfer"/>
    <s v="Lunas"/>
    <s v="Referral"/>
  </r>
  <r>
    <s v="TRX-1167"/>
    <d v="2026-07-16T00:00:00"/>
    <x v="10"/>
    <x v="12"/>
    <s v="Lala Kusuma"/>
    <s v="P002"/>
    <x v="6"/>
    <n v="1"/>
    <n v="29800000"/>
    <n v="1490000"/>
    <n v="28310000"/>
    <x v="0"/>
    <s v="Debit/Transfer"/>
    <s v="Lunas"/>
    <s v="Showroom"/>
  </r>
  <r>
    <s v="TRX-1084"/>
    <d v="2026-07-14T00:00:00"/>
    <x v="7"/>
    <x v="8"/>
    <s v="Ahmad Saputra"/>
    <s v="P004"/>
    <x v="8"/>
    <n v="1"/>
    <n v="18900000"/>
    <n v="0"/>
    <n v="18900000"/>
    <x v="0"/>
    <s v="Cash"/>
    <s v="Lunas"/>
    <s v="Pameran"/>
  </r>
  <r>
    <s v="TRX-1156"/>
    <d v="2026-07-16T00:00:00"/>
    <x v="5"/>
    <x v="18"/>
    <s v="Hana Saputra"/>
    <s v="P005"/>
    <x v="7"/>
    <n v="1"/>
    <n v="21500000"/>
    <n v="0"/>
    <n v="21500000"/>
    <x v="0"/>
    <s v="Debit/Transfer"/>
    <s v="Proses Kredit"/>
    <s v="Pameran"/>
  </r>
  <r>
    <s v="TRX-1280"/>
    <d v="2026-07-18T00:00:00"/>
    <x v="3"/>
    <x v="6"/>
    <s v="Budi Pratama"/>
    <s v="P009"/>
    <x v="5"/>
    <n v="1"/>
    <n v="26900000"/>
    <n v="1345000"/>
    <n v="25555000"/>
    <x v="0"/>
    <s v="Kredit - FIF"/>
    <s v="Lunas"/>
    <s v="Pameran"/>
  </r>
  <r>
    <s v="TRX-1127"/>
    <d v="2026-07-15T00:00:00"/>
    <x v="3"/>
    <x v="8"/>
    <s v="Citra Lestari"/>
    <s v="P001"/>
    <x v="0"/>
    <n v="1"/>
    <n v="33500000"/>
    <n v="0"/>
    <n v="33500000"/>
    <x v="0"/>
    <s v="Debit/Transfer"/>
    <s v="Proses Kredit"/>
    <s v="Showroom"/>
  </r>
  <r>
    <s v="TRX-1196"/>
    <d v="2026-07-16T00:00:00"/>
    <x v="1"/>
    <x v="9"/>
    <s v="Hana Lestari"/>
    <s v="P007"/>
    <x v="3"/>
    <n v="1"/>
    <n v="41000000"/>
    <n v="0"/>
    <n v="41000000"/>
    <x v="0"/>
    <s v="Kredit - FIF"/>
    <s v="Lunas"/>
    <s v="Showroom"/>
  </r>
  <r>
    <s v="TRX-1266"/>
    <d v="2026-07-18T00:00:00"/>
    <x v="8"/>
    <x v="3"/>
    <s v="Jihan Anggraini"/>
    <s v="P003"/>
    <x v="9"/>
    <n v="1"/>
    <n v="27400000"/>
    <n v="0"/>
    <n v="27400000"/>
    <x v="0"/>
    <s v="Kredit - Mandiri Tunas"/>
    <s v="Lunas"/>
    <s v="Online - Website"/>
  </r>
  <r>
    <s v="TRX-1322"/>
    <d v="2026-07-19T00:00:00"/>
    <x v="10"/>
    <x v="10"/>
    <s v="Made Kusuma"/>
    <s v="P001"/>
    <x v="0"/>
    <n v="1"/>
    <n v="33500000"/>
    <n v="670000"/>
    <n v="32830000"/>
    <x v="0"/>
    <s v="Kredit - Mandiri Tunas"/>
    <s v="Lunas"/>
    <s v="Online - Website"/>
  </r>
  <r>
    <s v="TRX-1105"/>
    <d v="2026-07-15T00:00:00"/>
    <x v="6"/>
    <x v="4"/>
    <s v="Jihan Wijaya"/>
    <s v="P002"/>
    <x v="6"/>
    <n v="1"/>
    <n v="29800000"/>
    <n v="0"/>
    <n v="29800000"/>
    <x v="0"/>
    <s v="Debit/Transfer"/>
    <s v="Lunas"/>
    <s v="Online - Website"/>
  </r>
  <r>
    <s v="TRX-1154"/>
    <d v="2026-07-16T00:00:00"/>
    <x v="5"/>
    <x v="13"/>
    <s v="Citra Firmansyah"/>
    <s v="P008"/>
    <x v="2"/>
    <n v="1"/>
    <n v="24600000"/>
    <n v="738000"/>
    <n v="23862000"/>
    <x v="0"/>
    <s v="Kredit - Mandiri Tunas"/>
    <s v="DP"/>
    <s v="Showroom"/>
  </r>
  <r>
    <s v="TRX-1283"/>
    <d v="2026-07-18T00:00:00"/>
    <x v="7"/>
    <x v="19"/>
    <s v="Budi Firmansyah"/>
    <s v="P003"/>
    <x v="9"/>
    <n v="1"/>
    <n v="27400000"/>
    <n v="822000"/>
    <n v="26578000"/>
    <x v="0"/>
    <s v="Debit/Transfer"/>
    <s v="Lunas"/>
    <s v="Online - Website"/>
  </r>
  <r>
    <s v="TRX-1227"/>
    <d v="2026-07-17T00:00:00"/>
    <x v="3"/>
    <x v="1"/>
    <s v="Jihan Anggraini"/>
    <s v="P002"/>
    <x v="6"/>
    <n v="1"/>
    <n v="29800000"/>
    <n v="0"/>
    <n v="29800000"/>
    <x v="0"/>
    <s v="Kredit - Adira"/>
    <s v="Lunas"/>
    <s v="Pameran"/>
  </r>
  <r>
    <s v="TRX-1026"/>
    <d v="2026-07-13T00:00:00"/>
    <x v="7"/>
    <x v="14"/>
    <s v="Dewi Ramadhan"/>
    <s v="P001"/>
    <x v="0"/>
    <n v="1"/>
    <n v="33500000"/>
    <n v="670000"/>
    <n v="32830000"/>
    <x v="0"/>
    <s v="Kredit - Adira"/>
    <s v="DP"/>
    <s v="Pameran"/>
  </r>
  <r>
    <s v="TRX-1197"/>
    <d v="2026-07-16T00:00:00"/>
    <x v="1"/>
    <x v="16"/>
    <s v="Tono Ramadhan"/>
    <s v="P003"/>
    <x v="9"/>
    <n v="2"/>
    <n v="27400000"/>
    <n v="0"/>
    <n v="54800000"/>
    <x v="0"/>
    <s v="Kredit - Adira"/>
    <s v="Lunas"/>
    <s v="Showroom"/>
  </r>
  <r>
    <s v="TRX-1065"/>
    <d v="2026-07-14T00:00:00"/>
    <x v="8"/>
    <x v="0"/>
    <s v="Made Anggraini"/>
    <s v="P008"/>
    <x v="2"/>
    <n v="1"/>
    <n v="24600000"/>
    <n v="492000"/>
    <n v="24108000"/>
    <x v="0"/>
    <s v="Debit/Transfer"/>
    <s v="DP"/>
    <s v="Pameran"/>
  </r>
  <r>
    <s v="TRX-1016"/>
    <d v="2026-07-13T00:00:00"/>
    <x v="9"/>
    <x v="14"/>
    <s v="Putra Anggraini"/>
    <s v="P005"/>
    <x v="7"/>
    <n v="1"/>
    <n v="21500000"/>
    <n v="0"/>
    <n v="21500000"/>
    <x v="0"/>
    <s v="Kredit - Mandiri Tunas"/>
    <s v="Lunas"/>
    <s v="Referral"/>
  </r>
  <r>
    <s v="TRX-1298"/>
    <d v="2026-07-18T00:00:00"/>
    <x v="1"/>
    <x v="3"/>
    <s v="Irfan Firmansyah"/>
    <s v="P001"/>
    <x v="0"/>
    <n v="1"/>
    <n v="33500000"/>
    <n v="0"/>
    <n v="33500000"/>
    <x v="0"/>
    <s v="Kredit - Mandiri Tunas"/>
    <s v="Lunas"/>
    <s v="Pameran"/>
  </r>
  <r>
    <s v="TRX-1110"/>
    <d v="2026-07-15T00:00:00"/>
    <x v="2"/>
    <x v="17"/>
    <s v="Kevin Wijaya"/>
    <s v="P003"/>
    <x v="9"/>
    <n v="1"/>
    <n v="27400000"/>
    <n v="548000"/>
    <n v="26852000"/>
    <x v="0"/>
    <s v="Kredit - Adira"/>
    <s v="Lunas"/>
    <s v="Showroom"/>
  </r>
  <r>
    <s v="TRX-1027"/>
    <d v="2026-07-13T00:00:00"/>
    <x v="0"/>
    <x v="2"/>
    <s v="Irfan Hidayat"/>
    <s v="P002"/>
    <x v="6"/>
    <n v="1"/>
    <n v="29800000"/>
    <n v="0"/>
    <n v="29800000"/>
    <x v="0"/>
    <s v="Kredit - FIF"/>
    <s v="Lunas"/>
    <s v="Showroom"/>
  </r>
  <r>
    <s v="TRX-1077"/>
    <d v="2026-07-14T00:00:00"/>
    <x v="7"/>
    <x v="15"/>
    <s v="Oscar Lestari"/>
    <s v="P009"/>
    <x v="5"/>
    <n v="1"/>
    <n v="26900000"/>
    <n v="807000"/>
    <n v="26093000"/>
    <x v="0"/>
    <s v="Cash"/>
    <s v="Lunas"/>
    <s v="Referral"/>
  </r>
  <r>
    <s v="TRX-1044"/>
    <d v="2026-07-14T00:00:00"/>
    <x v="2"/>
    <x v="20"/>
    <s v="Putra Wijaya"/>
    <s v="P003"/>
    <x v="9"/>
    <n v="1"/>
    <n v="27400000"/>
    <n v="822000"/>
    <n v="26578000"/>
    <x v="0"/>
    <s v="Kredit - Adira"/>
    <s v="Lunas"/>
    <s v="Pameran"/>
  </r>
  <r>
    <s v="TRX-1281"/>
    <d v="2026-07-18T00:00:00"/>
    <x v="7"/>
    <x v="10"/>
    <s v="Lala Wijaya"/>
    <s v="P001"/>
    <x v="0"/>
    <n v="1"/>
    <n v="33500000"/>
    <n v="0"/>
    <n v="33500000"/>
    <x v="0"/>
    <s v="Kredit - Mandiri Tunas"/>
    <s v="Lunas"/>
    <s v="Showroom"/>
  </r>
  <r>
    <s v="TRX-1004"/>
    <d v="2026-07-13T00:00:00"/>
    <x v="6"/>
    <x v="10"/>
    <s v="Hana Wijaya"/>
    <s v="P001"/>
    <x v="0"/>
    <n v="1"/>
    <n v="33500000"/>
    <n v="1675000"/>
    <n v="31825000"/>
    <x v="0"/>
    <s v="Kredit - Adira"/>
    <s v="Lunas"/>
    <s v="Referral"/>
  </r>
  <r>
    <s v="TRX-1050"/>
    <d v="2026-07-14T00:00:00"/>
    <x v="5"/>
    <x v="9"/>
    <s v="Jihan Pratama"/>
    <s v="P002"/>
    <x v="6"/>
    <n v="1"/>
    <n v="29800000"/>
    <n v="894000"/>
    <n v="28906000"/>
    <x v="0"/>
    <s v="Kredit - Adira"/>
    <s v="Lunas"/>
    <s v="Referral"/>
  </r>
  <r>
    <s v="TRX-1031"/>
    <d v="2026-07-13T00:00:00"/>
    <x v="1"/>
    <x v="13"/>
    <s v="Tono Hidayat"/>
    <s v="P003"/>
    <x v="9"/>
    <n v="1"/>
    <n v="27400000"/>
    <n v="274000"/>
    <n v="27126000"/>
    <x v="0"/>
    <s v="Debit/Transfer"/>
    <s v="Lunas"/>
    <s v="Pameran"/>
  </r>
  <r>
    <s v="TRX-1122"/>
    <d v="2026-07-15T00:00:00"/>
    <x v="8"/>
    <x v="20"/>
    <s v="Putra Firmansyah"/>
    <s v="P003"/>
    <x v="9"/>
    <n v="1"/>
    <n v="27400000"/>
    <n v="0"/>
    <n v="27400000"/>
    <x v="0"/>
    <s v="Kredit - FIF"/>
    <s v="Lunas"/>
    <s v="Pameran"/>
  </r>
  <r>
    <s v="TRX-1116"/>
    <d v="2026-07-15T00:00:00"/>
    <x v="4"/>
    <x v="5"/>
    <s v="Galih Saputra"/>
    <s v="P008"/>
    <x v="2"/>
    <n v="1"/>
    <n v="24600000"/>
    <n v="492000"/>
    <n v="24108000"/>
    <x v="0"/>
    <s v="Debit/Transfer"/>
    <s v="Lunas"/>
    <s v="Pameran"/>
  </r>
  <r>
    <s v="TRX-1326"/>
    <d v="2026-07-19T00:00:00"/>
    <x v="9"/>
    <x v="17"/>
    <s v="Made Maharani"/>
    <s v="P010"/>
    <x v="1"/>
    <n v="1"/>
    <n v="22300000"/>
    <n v="223000"/>
    <n v="22077000"/>
    <x v="0"/>
    <s v="Debit/Transfer"/>
    <s v="Lunas"/>
    <s v="Referral"/>
  </r>
  <r>
    <s v="TRX-1217"/>
    <d v="2026-07-17T00:00:00"/>
    <x v="5"/>
    <x v="10"/>
    <s v="Unknown"/>
    <s v="P010"/>
    <x v="1"/>
    <n v="1"/>
    <n v="22300000"/>
    <n v="446000"/>
    <n v="21854000"/>
    <x v="0"/>
    <s v="Kredit - FIF"/>
    <s v="Lunas"/>
    <s v="Online - Website"/>
  </r>
  <r>
    <s v="TRX-1265"/>
    <d v="2026-07-18T00:00:00"/>
    <x v="8"/>
    <x v="8"/>
    <s v="Ahmad Pratama"/>
    <s v="P006"/>
    <x v="4"/>
    <n v="2"/>
    <n v="17800000"/>
    <n v="356000"/>
    <n v="35244000"/>
    <x v="0"/>
    <s v="Kredit - Adira"/>
    <s v="DP"/>
    <s v="Showroom"/>
  </r>
  <r>
    <s v="TRX-1210"/>
    <d v="2026-07-17T00:00:00"/>
    <x v="2"/>
    <x v="2"/>
    <s v="Citra Firmansyah"/>
    <s v="P003"/>
    <x v="9"/>
    <n v="1"/>
    <n v="27400000"/>
    <n v="822000"/>
    <n v="26578000"/>
    <x v="0"/>
    <s v="Debit/Transfer"/>
    <s v="Proses Kredit"/>
    <s v="Referral"/>
  </r>
  <r>
    <s v="TRX-1317"/>
    <d v="2026-07-19T00:00:00"/>
    <x v="4"/>
    <x v="8"/>
    <s v="Qori Ramadhan"/>
    <s v="P002"/>
    <x v="6"/>
    <n v="1"/>
    <n v="29800000"/>
    <n v="0"/>
    <n v="29800000"/>
    <x v="0"/>
    <s v="Kredit - Mandiri Tunas"/>
    <s v="Lunas"/>
    <s v="Showroom"/>
  </r>
  <r>
    <s v="TRX-1002"/>
    <d v="2026-07-13T00:00:00"/>
    <x v="11"/>
    <x v="16"/>
    <s v="Ahmad Kusuma"/>
    <s v="P006"/>
    <x v="4"/>
    <n v="1"/>
    <n v="17800000"/>
    <n v="356000"/>
    <n v="17444000"/>
    <x v="0"/>
    <s v="Cash"/>
    <s v="Lunas"/>
    <s v="Showroom"/>
  </r>
  <r>
    <s v="TRX-1314"/>
    <d v="2026-07-19T00:00:00"/>
    <x v="4"/>
    <x v="16"/>
    <s v="Qori Saputra"/>
    <s v="P008"/>
    <x v="2"/>
    <n v="1"/>
    <n v="24600000"/>
    <n v="0"/>
    <n v="24600000"/>
    <x v="0"/>
    <s v="Kredit - FIF"/>
    <s v="Lunas"/>
    <s v="Online - Website"/>
  </r>
  <r>
    <s v="TRX-1023"/>
    <d v="2026-07-13T00:00:00"/>
    <x v="7"/>
    <x v="2"/>
    <s v="Oscar Firmansyah"/>
    <s v="P008"/>
    <x v="2"/>
    <n v="1"/>
    <n v="24600000"/>
    <n v="246000"/>
    <n v="24354000"/>
    <x v="0"/>
    <s v="Cash"/>
    <s v="Lunas"/>
    <s v="Online - Website"/>
  </r>
  <r>
    <s v="TRX-1318"/>
    <d v="2026-07-19T00:00:00"/>
    <x v="10"/>
    <x v="1"/>
    <s v="Ahmad Ramadhan"/>
    <s v="P004"/>
    <x v="8"/>
    <n v="1"/>
    <n v="18900000"/>
    <n v="378000"/>
    <n v="18522000"/>
    <x v="0"/>
    <s v="Debit/Transfer"/>
    <s v="Lunas"/>
    <s v="Pameran"/>
  </r>
  <r>
    <s v="TRX-1320"/>
    <d v="2026-07-19T00:00:00"/>
    <x v="10"/>
    <x v="16"/>
    <s v="Qori Saputra"/>
    <s v="P002"/>
    <x v="6"/>
    <n v="1"/>
    <n v="29800000"/>
    <n v="1490000"/>
    <n v="28310000"/>
    <x v="0"/>
    <s v="Kredit - Mandiri Tunas"/>
    <s v="Lunas"/>
    <s v="Referral"/>
  </r>
  <r>
    <s v="TRX-1008"/>
    <d v="2026-07-13T00:00:00"/>
    <x v="6"/>
    <x v="0"/>
    <s v="Ahmad Wijaya"/>
    <s v="P003"/>
    <x v="9"/>
    <n v="1"/>
    <n v="27400000"/>
    <n v="548000"/>
    <n v="26852000"/>
    <x v="0"/>
    <s v="Kredit - FIF"/>
    <s v="Lunas"/>
    <s v="Showroom"/>
  </r>
  <r>
    <s v="TRX-1142"/>
    <d v="2026-07-16T00:00:00"/>
    <x v="11"/>
    <x v="4"/>
    <s v="Jihan Wijaya"/>
    <s v="P009"/>
    <x v="5"/>
    <n v="1"/>
    <n v="26900000"/>
    <n v="269000"/>
    <n v="26631000"/>
    <x v="0"/>
    <s v="Kredit - Adira"/>
    <s v="Lunas"/>
    <s v="Online - Website"/>
  </r>
  <r>
    <s v="TRX-1087"/>
    <d v="2026-07-14T00:00:00"/>
    <x v="0"/>
    <x v="2"/>
    <s v="Eko Anggraini"/>
    <s v="P003"/>
    <x v="9"/>
    <n v="1"/>
    <n v="27400000"/>
    <n v="548000"/>
    <n v="26852000"/>
    <x v="0"/>
    <s v="Kredit - Mandiri Tunas"/>
    <s v="Lunas"/>
    <s v="Showroom"/>
  </r>
  <r>
    <s v="TRX-1242"/>
    <d v="2026-07-18T00:00:00"/>
    <x v="11"/>
    <x v="15"/>
    <s v="Dewi Lestari"/>
    <s v="P001"/>
    <x v="0"/>
    <n v="1"/>
    <n v="33500000"/>
    <n v="0"/>
    <n v="33500000"/>
    <x v="0"/>
    <s v="Kredit - Adira"/>
    <s v="Lunas"/>
    <s v="Referral"/>
  </r>
  <r>
    <s v="TRX-1216"/>
    <d v="2026-07-17T00:00:00"/>
    <x v="5"/>
    <x v="15"/>
    <s v="Dewi Firmansyah"/>
    <s v="P002"/>
    <x v="6"/>
    <n v="1"/>
    <n v="29800000"/>
    <n v="298000"/>
    <n v="29502000"/>
    <x v="0"/>
    <s v="Debit/Transfer"/>
    <s v="Lunas"/>
    <s v="Showroom"/>
  </r>
  <r>
    <s v="TRX-1069"/>
    <d v="2026-07-14T00:00:00"/>
    <x v="9"/>
    <x v="15"/>
    <s v="Dewi Wijaya"/>
    <s v="P002"/>
    <x v="6"/>
    <n v="1"/>
    <n v="29800000"/>
    <n v="298000"/>
    <n v="29502000"/>
    <x v="0"/>
    <s v="Kredit - FIF"/>
    <s v="Lunas"/>
    <s v="Referral"/>
  </r>
  <r>
    <s v="TRX-1051"/>
    <d v="2026-07-14T00:00:00"/>
    <x v="5"/>
    <x v="4"/>
    <s v="Putra Wijaya"/>
    <s v="P001"/>
    <x v="0"/>
    <n v="1"/>
    <n v="33500000"/>
    <n v="335000"/>
    <n v="33165000"/>
    <x v="0"/>
    <s v="Kredit - Mandiri Tunas"/>
    <s v="Lunas"/>
    <s v="Pameran"/>
  </r>
  <r>
    <s v="TRX-1157"/>
    <d v="2026-07-16T00:00:00"/>
    <x v="5"/>
    <x v="4"/>
    <s v="Dewi Saputra"/>
    <s v="P004"/>
    <x v="8"/>
    <n v="1"/>
    <n v="18900000"/>
    <n v="0"/>
    <n v="18900000"/>
    <x v="0"/>
    <s v="Kredit - Adira"/>
    <s v="Lunas"/>
    <s v="Online - Website"/>
  </r>
  <r>
    <s v="TRX-1253"/>
    <d v="2026-07-18T00:00:00"/>
    <x v="5"/>
    <x v="9"/>
    <s v="Hana Hidayat"/>
    <s v="P002"/>
    <x v="6"/>
    <n v="1"/>
    <n v="29800000"/>
    <n v="596000"/>
    <n v="29204000"/>
    <x v="0"/>
    <s v="Debit/Transfer"/>
    <s v="Lunas"/>
    <s v="Referral"/>
  </r>
  <r>
    <s v="TRX-1255"/>
    <d v="2026-07-18T00:00:00"/>
    <x v="4"/>
    <x v="4"/>
    <s v="Tono Saputra"/>
    <s v="P004"/>
    <x v="8"/>
    <n v="1"/>
    <n v="18900000"/>
    <n v="945000"/>
    <n v="0"/>
    <x v="1"/>
    <s v="Kredit - FIF"/>
    <s v="Lunas"/>
    <s v="Pameran"/>
  </r>
  <r>
    <s v="TRX-1277"/>
    <d v="2026-07-18T00:00:00"/>
    <x v="3"/>
    <x v="18"/>
    <s v="Rendi Maharani"/>
    <s v="P003"/>
    <x v="9"/>
    <n v="1"/>
    <n v="27400000"/>
    <n v="548000"/>
    <n v="26852000"/>
    <x v="0"/>
    <s v="Kredit - Mandiri Tunas"/>
    <s v="Lunas"/>
    <s v="Pameran"/>
  </r>
  <r>
    <s v="TRX-1179"/>
    <d v="2026-07-16T00:00:00"/>
    <x v="9"/>
    <x v="2"/>
    <s v="Putra Kusuma"/>
    <s v="P004"/>
    <x v="8"/>
    <n v="1"/>
    <n v="18900000"/>
    <n v="378000"/>
    <n v="18522000"/>
    <x v="0"/>
    <s v="Cash"/>
    <s v="Lunas"/>
    <s v="Referral"/>
  </r>
  <r>
    <s v="TRX-1282"/>
    <d v="2026-07-18T00:00:00"/>
    <x v="7"/>
    <x v="18"/>
    <s v="Galih Hidayat"/>
    <s v="P002"/>
    <x v="6"/>
    <n v="1"/>
    <n v="29800000"/>
    <n v="0"/>
    <n v="29800000"/>
    <x v="0"/>
    <s v="Cash"/>
    <s v="Lunas"/>
    <s v="Pameran"/>
  </r>
  <r>
    <s v="TRX-1238"/>
    <d v="2026-07-17T00:00:00"/>
    <x v="1"/>
    <x v="12"/>
    <s v="Lala Firmansyah"/>
    <s v="P003"/>
    <x v="9"/>
    <n v="1"/>
    <n v="27400000"/>
    <n v="0"/>
    <n v="27400000"/>
    <x v="0"/>
    <s v="Kredit - Adira"/>
    <s v="Lunas"/>
    <s v="Online - Website"/>
  </r>
  <r>
    <s v="TRX-1072"/>
    <d v="2026-07-14T00:00:00"/>
    <x v="9"/>
    <x v="10"/>
    <s v="Made Anggraini"/>
    <s v="P005"/>
    <x v="7"/>
    <n v="1"/>
    <n v="21500000"/>
    <n v="215000"/>
    <n v="21285000"/>
    <x v="0"/>
    <s v="Kredit - FIF"/>
    <s v="Lunas"/>
    <s v="Showroom"/>
  </r>
  <r>
    <s v="TRX-1339"/>
    <d v="2026-07-19T00:00:00"/>
    <x v="0"/>
    <x v="5"/>
    <s v="Rendi Kusuma"/>
    <s v="P003"/>
    <x v="9"/>
    <n v="1"/>
    <n v="27400000"/>
    <n v="1370000"/>
    <n v="26030000"/>
    <x v="0"/>
    <s v="Debit/Transfer"/>
    <s v="Lunas"/>
    <s v="Pameran"/>
  </r>
  <r>
    <s v="TRX-1145"/>
    <d v="2026-07-16T00:00:00"/>
    <x v="11"/>
    <x v="14"/>
    <s v="Budi Kusuma"/>
    <s v="P002"/>
    <x v="6"/>
    <n v="1"/>
    <n v="29800000"/>
    <n v="0"/>
    <n v="29800000"/>
    <x v="0"/>
    <s v="Kredit - Mandiri Tunas"/>
    <s v="Lunas"/>
    <s v="Pameran"/>
  </r>
  <r>
    <s v="TRX-1336"/>
    <d v="2026-07-19T00:00:00"/>
    <x v="7"/>
    <x v="14"/>
    <s v="Irfan Pratama"/>
    <s v="P002"/>
    <x v="6"/>
    <n v="1"/>
    <n v="29800000"/>
    <n v="0"/>
    <n v="29800000"/>
    <x v="0"/>
    <s v="Kredit - Adira"/>
    <s v="DP"/>
    <s v="Online - Website"/>
  </r>
  <r>
    <s v="TRX-1134"/>
    <d v="2026-07-15T00:00:00"/>
    <x v="7"/>
    <x v="0"/>
    <s v="Made Firmansyah"/>
    <s v="P001"/>
    <x v="0"/>
    <n v="1"/>
    <n v="33500000"/>
    <n v="1005000"/>
    <n v="32495000"/>
    <x v="0"/>
    <s v="Debit/Transfer"/>
    <s v="Lunas"/>
    <s v="Showroom"/>
  </r>
  <r>
    <s v="TRX-1204"/>
    <d v="2026-07-17T00:00:00"/>
    <x v="11"/>
    <x v="8"/>
    <s v="Ahmad Saputra"/>
    <s v="P001"/>
    <x v="0"/>
    <n v="1"/>
    <n v="33500000"/>
    <n v="0"/>
    <n v="33500000"/>
    <x v="0"/>
    <s v="Kredit - Mandiri Tunas"/>
    <s v="Lunas"/>
    <s v="Showroom"/>
  </r>
  <r>
    <s v="TRX-1256"/>
    <d v="2026-07-18T00:00:00"/>
    <x v="4"/>
    <x v="7"/>
    <s v="Qori Maharani"/>
    <s v="P009"/>
    <x v="5"/>
    <n v="1"/>
    <n v="26900000"/>
    <n v="538000"/>
    <n v="26362000"/>
    <x v="0"/>
    <s v="Kredit - FIF"/>
    <s v="Lunas"/>
    <s v="Referral"/>
  </r>
  <r>
    <s v="TRX-1073"/>
    <d v="2026-07-14T00:00:00"/>
    <x v="3"/>
    <x v="12"/>
    <s v="Jihan Pratama"/>
    <s v="P006"/>
    <x v="4"/>
    <n v="1"/>
    <n v="17800000"/>
    <n v="0"/>
    <n v="17800000"/>
    <x v="0"/>
    <s v="Kredit - Adira"/>
    <s v="Lunas"/>
    <s v="Showroom"/>
  </r>
  <r>
    <s v="TRX-1038"/>
    <d v="2026-07-14T00:00:00"/>
    <x v="6"/>
    <x v="13"/>
    <s v="Rendi Maharani"/>
    <s v="P001"/>
    <x v="0"/>
    <n v="1"/>
    <n v="33500000"/>
    <n v="670000"/>
    <n v="32830000"/>
    <x v="0"/>
    <s v="Cash"/>
    <s v="Lunas"/>
    <s v="Pamer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007C0-24DA-4D89-81ED-CAED68C41C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6" firstHeaderRow="1" firstDataRow="1" firstDataCol="1" rowPageCount="1" colPageCount="1"/>
  <pivotFields count="15">
    <pivotField showAll="0"/>
    <pivotField numFmtId="164" showAll="0"/>
    <pivotField axis="axisRow" showAll="0">
      <items count="13">
        <item x="5"/>
        <item x="6"/>
        <item x="4"/>
        <item x="0"/>
        <item x="10"/>
        <item x="2"/>
        <item x="3"/>
        <item x="9"/>
        <item x="7"/>
        <item x="8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1" hier="-1"/>
  </pageFields>
  <dataFields count="1">
    <dataField name="Sum of Total Sales" fld="10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3B35B-A1B6-4F78-AA28-BBF901491C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 rowPageCount="1" colPageCount="1"/>
  <pivotFields count="15">
    <pivotField showAll="0"/>
    <pivotField numFmtId="164" showAll="0"/>
    <pivotField showAll="0"/>
    <pivotField showAll="0"/>
    <pivotField showAll="0"/>
    <pivotField showAll="0"/>
    <pivotField axis="axisRow" showAll="0" sortType="descending">
      <items count="11">
        <item x="6"/>
        <item x="7"/>
        <item x="1"/>
        <item x="4"/>
        <item x="5"/>
        <item x="9"/>
        <item x="8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6"/>
  </rowFields>
  <rowItems count="11">
    <i>
      <x v="8"/>
    </i>
    <i>
      <x/>
    </i>
    <i>
      <x v="5"/>
    </i>
    <i>
      <x v="1"/>
    </i>
    <i>
      <x v="9"/>
    </i>
    <i>
      <x v="7"/>
    </i>
    <i>
      <x v="6"/>
    </i>
    <i>
      <x v="4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Sum of Total Sales" fld="10" baseField="0" baseItem="0"/>
    <dataField name="Sum of Qty" fld="7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6" type="button" dataOnly="0" labelOnly="1" outline="0" axis="axisRow" fieldPosition="0"/>
    </format>
    <format dxfId="26">
      <pivotArea dataOnly="0" labelOnly="1" fieldPosition="0">
        <references count="1">
          <reference field="6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9D767-66AC-4E61-91B6-2E7C6279DF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0" firstDataRow="1" firstDataCol="1" rowPageCount="1" colPageCount="1"/>
  <pivotFields count="15">
    <pivotField dataField="1" showAll="0"/>
    <pivotField numFmtId="164" showAll="0"/>
    <pivotField showAll="0"/>
    <pivotField axis="axisRow" showAll="0" sortType="descending">
      <items count="22">
        <item x="15"/>
        <item x="9"/>
        <item x="4"/>
        <item x="11"/>
        <item x="5"/>
        <item x="14"/>
        <item x="2"/>
        <item x="10"/>
        <item x="3"/>
        <item x="6"/>
        <item x="17"/>
        <item x="18"/>
        <item x="13"/>
        <item x="7"/>
        <item x="12"/>
        <item x="20"/>
        <item x="8"/>
        <item x="0"/>
        <item x="16"/>
        <item x="19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dataField="1"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</pivotFields>
  <rowFields count="1">
    <field x="3"/>
  </rowFields>
  <rowItems count="22">
    <i>
      <x v="9"/>
    </i>
    <i>
      <x v="7"/>
    </i>
    <i>
      <x v="14"/>
    </i>
    <i>
      <x v="16"/>
    </i>
    <i>
      <x v="17"/>
    </i>
    <i>
      <x v="13"/>
    </i>
    <i>
      <x v="18"/>
    </i>
    <i>
      <x v="6"/>
    </i>
    <i>
      <x v="5"/>
    </i>
    <i>
      <x v="4"/>
    </i>
    <i>
      <x v="2"/>
    </i>
    <i>
      <x v="20"/>
    </i>
    <i>
      <x v="12"/>
    </i>
    <i>
      <x v="8"/>
    </i>
    <i>
      <x/>
    </i>
    <i>
      <x v="10"/>
    </i>
    <i>
      <x v="11"/>
    </i>
    <i>
      <x v="1"/>
    </i>
    <i>
      <x v="19"/>
    </i>
    <i>
      <x v="3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hier="-1"/>
  </pageFields>
  <dataFields count="3">
    <dataField name="Count of Transaction ID" fld="0" subtotal="count" baseField="0" baseItem="0"/>
    <dataField name="Sum of Total Sales" fld="10" baseField="0" baseItem="0"/>
    <dataField name="Sum of Q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638A8-5A40-48BC-A661-00DB71B8F453}" name="Table1" displayName="Table1" ref="A1:O342" totalsRowShown="0">
  <tableColumns count="15">
    <tableColumn id="1" xr3:uid="{75C946B5-7627-486A-B5FC-A8B8735EC6E9}" name="Transaction ID" dataDxfId="56"/>
    <tableColumn id="4" xr3:uid="{DE65C1AC-90B3-4B10-92AD-4AB04A0BAF26}" name="Date " dataDxfId="55"/>
    <tableColumn id="6" xr3:uid="{F177A2ED-6232-492B-BF46-7B2E8F9190AC}" name="Branch" dataDxfId="54"/>
    <tableColumn id="8" xr3:uid="{0D7293C3-76B6-414B-BF69-8BDF20B39325}" name="Sales Rep" dataDxfId="53"/>
    <tableColumn id="10" xr3:uid="{EEF373C1-D2C2-458C-9E84-FC91C07B02F2}" name=" Custumer Name " dataDxfId="52"/>
    <tableColumn id="11" xr3:uid="{C55D5B45-532A-4443-9BEC-E3FD2FE895CA}" name="Product Code" dataDxfId="51"/>
    <tableColumn id="12" xr3:uid="{CBD99871-6B97-4E27-BA5D-E724E6A7D32A}" name="Product Name" dataDxfId="50"/>
    <tableColumn id="13" xr3:uid="{5F59C84F-2E66-496C-BAE6-94240D961669}" name="Qty" dataDxfId="49"/>
    <tableColumn id="14" xr3:uid="{858C110B-68EC-4F03-A23D-095FA0F65405}" name="Unit Price" dataDxfId="48"/>
    <tableColumn id="15" xr3:uid="{B9ADBFAE-FD28-4A6F-B260-5AAD6622C3D6}" name="Discount" dataDxfId="47"/>
    <tableColumn id="16" xr3:uid="{54BBFBA1-60ED-464E-B071-E7BA0EC0B7C1}" name="Total Sales" dataDxfId="46"/>
    <tableColumn id="17" xr3:uid="{FD9038E6-C8C2-425E-BCB9-4A7FACCC6870}" name="Status Transaksi" dataDxfId="45"/>
    <tableColumn id="18" xr3:uid="{E5BEF05F-2C85-4BBA-B75D-82E570E3B03E}" name="Payment Method" dataDxfId="44"/>
    <tableColumn id="19" xr3:uid="{9EF9455B-E865-484F-AC30-9E2856340499}" name="Payment Status" dataDxfId="43"/>
    <tableColumn id="20" xr3:uid="{3AE4AABB-F794-471D-AAB1-B50359A03F4A}" name="Channel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A5714B-F2E0-4627-A9EB-C999C903C4A6}" name="Table2" displayName="Table2" ref="D3:E15" totalsRowShown="0" headerRowDxfId="35" headerRowBorderDxfId="34" tableBorderDxfId="33" totalsRowBorderDxfId="32">
  <tableColumns count="2">
    <tableColumn id="1" xr3:uid="{A77271C2-7DDE-46D5-85DB-621BE5F10F83}" name="Target Revenue" dataDxfId="31">
      <calculatedColumnFormula>SUMIFS('Target Sales'!D:D,'Target Sales'!A:A,A4)</calculatedColumnFormula>
    </tableColumn>
    <tableColumn id="2" xr3:uid="{3BAE4F72-DA05-436F-894F-319965DAE99C}" name="Achievement %" dataDxfId="30">
      <calculatedColumnFormula>B4/D4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652EF4-5B2E-4CB7-AF1B-96B6701ABAD5}" name="Table7" displayName="Table7" ref="G3:H16" totalsRowShown="0">
  <tableColumns count="2">
    <tableColumn id="1" xr3:uid="{A21C9E92-8A83-47BF-A6BC-18C9C05F5AFC}" name="Row Labels"/>
    <tableColumn id="2" xr3:uid="{4433EF6E-4E52-43C0-B8B9-8FC23488DCC7}" name="Sum of Total Sal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68C0A8-5904-4AED-8B90-09A097A58116}" name="Table8" displayName="Table8" ref="J3:K15" totalsRowShown="0">
  <tableColumns count="2">
    <tableColumn id="1" xr3:uid="{8F1639CA-318E-4B5E-A36F-19ACE066542F}" name="Target Revenue"/>
    <tableColumn id="2" xr3:uid="{6EB7E946-7CE4-4589-B360-7224B5073CBC}" name="Achievement %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8F5DF1-16C9-4087-A12F-19AEA4E7593A}" name="Table9" displayName="Table9" ref="E3:G13" totalsRowShown="0" headerRowDxfId="23" headerRowBorderDxfId="22" tableBorderDxfId="21" totalsRowBorderDxfId="20">
  <tableColumns count="3">
    <tableColumn id="1" xr3:uid="{487DDAEC-DED5-4437-9B1C-F46A48C45940}" name="Row Labels" dataDxfId="19"/>
    <tableColumn id="2" xr3:uid="{BC86EDBD-6951-4143-8723-68AB22DE479E}" name="Sum of Total Sales" dataDxfId="18"/>
    <tableColumn id="3" xr3:uid="{1E2C8DE4-9A4B-4E8E-892F-AD7EA45B49BA}" name="Sum of Qty" dataDxfId="1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217AE0-2077-40C0-B1E2-A4CE2E2128FA}" name="Table10" displayName="Table10" ref="F3:I24" totalsRowShown="0" headerRowDxfId="16" headerRowBorderDxfId="15" tableBorderDxfId="14" totalsRowBorderDxfId="13">
  <tableColumns count="4">
    <tableColumn id="1" xr3:uid="{B343C99B-7153-4A1C-ABB2-C19F400A7BEC}" name="Row Labels" dataDxfId="12"/>
    <tableColumn id="2" xr3:uid="{EE782BA8-58C3-4F09-AF21-83FB7761A107}" name="Count of Transaction ID" dataDxfId="11"/>
    <tableColumn id="3" xr3:uid="{54710FD6-1E50-4672-84A1-CAE71C091777}" name="Sum of Total Sales" dataDxfId="10"/>
    <tableColumn id="4" xr3:uid="{D5ED6583-4BDE-485F-87F2-773AE6D8501F}" name="Sum of Qty" dataDxfId="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0CE756-0070-4F5A-B6D5-32B9930D2DB0}" name="Table3" displayName="Table3" ref="E4:E5" totalsRowShown="0" headerRowDxfId="8" dataDxfId="7">
  <tableColumns count="1">
    <tableColumn id="1" xr3:uid="{275B49B4-1FD8-4CBE-93DB-EB549D637F17}" name="TOTAL REVENUE" dataDxfId="6">
      <calculatedColumnFormula>SUM('Clean Sales Transaction'!K:K)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CBE6F0-E0CF-4E39-982F-B6CBA13C1AFB}" name="Table4" displayName="Table4" ref="J4:J5" totalsRowShown="0" headerRowDxfId="5" dataDxfId="4">
  <tableColumns count="1">
    <tableColumn id="1" xr3:uid="{97F22586-004E-40AE-A030-F708B9B8D67E}" name="TOTAL UNIT TERJUAL" dataDxfId="3">
      <calculatedColumnFormula>SUMIFS('Clean Sales Transaction'!H:H,'Clean Sales Transaction'!L:L,"Normal")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8EACB6-AEEA-414D-AB24-584160E3E36E}" name="Table5" displayName="Table5" ref="N4:N5" totalsRowShown="0" headerRowDxfId="2" dataDxfId="1">
  <tableColumns count="1">
    <tableColumn id="1" xr3:uid="{531BED80-0235-440A-BE02-F6D19CF6530D}" name="AVG ACHIEVEMENT %" dataDxfId="0">
      <calculatedColumnFormula>AVERAGE('Target vs Actual'!E4:E15)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B040-A0AA-424F-B4D0-8B0171187A31}">
  <dimension ref="A1:N349"/>
  <sheetViews>
    <sheetView topLeftCell="B1" workbookViewId="0">
      <selection activeCell="B10" sqref="B10"/>
    </sheetView>
  </sheetViews>
  <sheetFormatPr defaultRowHeight="14.5"/>
  <cols>
    <col min="1" max="1" width="13.453125" bestFit="1" customWidth="1"/>
    <col min="2" max="2" width="10.453125" bestFit="1" customWidth="1"/>
    <col min="3" max="3" width="13.7265625" bestFit="1" customWidth="1"/>
    <col min="4" max="4" width="13.90625" bestFit="1" customWidth="1"/>
    <col min="5" max="5" width="15.54296875" bestFit="1" customWidth="1"/>
    <col min="6" max="6" width="12.6328125" bestFit="1" customWidth="1"/>
    <col min="7" max="7" width="13.08984375" bestFit="1" customWidth="1"/>
    <col min="8" max="8" width="3.90625" bestFit="1" customWidth="1"/>
    <col min="9" max="9" width="9.90625" bestFit="1" customWidth="1"/>
    <col min="10" max="10" width="8.90625" bestFit="1" customWidth="1"/>
    <col min="11" max="11" width="10.36328125" bestFit="1" customWidth="1"/>
    <col min="12" max="12" width="18.6328125" bestFit="1" customWidth="1"/>
    <col min="13" max="13" width="14.453125" bestFit="1" customWidth="1"/>
    <col min="14" max="14" width="14.179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</v>
      </c>
      <c r="I2" s="3">
        <v>33500000</v>
      </c>
      <c r="J2" s="3">
        <v>1675000</v>
      </c>
      <c r="K2" s="3">
        <v>31825000</v>
      </c>
      <c r="L2" s="2" t="s">
        <v>21</v>
      </c>
      <c r="M2" s="2" t="s">
        <v>22</v>
      </c>
      <c r="N2" s="2" t="s">
        <v>23</v>
      </c>
    </row>
    <row r="3" spans="1:14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19</v>
      </c>
      <c r="G3" s="2" t="s">
        <v>20</v>
      </c>
      <c r="H3" s="2">
        <v>1</v>
      </c>
      <c r="I3" s="3">
        <v>33500000</v>
      </c>
      <c r="J3" s="3">
        <v>1005000</v>
      </c>
      <c r="K3" s="3">
        <v>32495000</v>
      </c>
      <c r="L3" s="2" t="s">
        <v>29</v>
      </c>
      <c r="M3" s="2" t="s">
        <v>22</v>
      </c>
      <c r="N3" s="2" t="s">
        <v>30</v>
      </c>
    </row>
    <row r="4" spans="1:14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>
        <v>1</v>
      </c>
      <c r="I4" s="3">
        <v>22300000</v>
      </c>
      <c r="J4" s="3">
        <v>669000</v>
      </c>
      <c r="K4" s="3">
        <v>21631000</v>
      </c>
      <c r="L4" s="2" t="s">
        <v>38</v>
      </c>
      <c r="M4" s="2" t="s">
        <v>22</v>
      </c>
      <c r="N4" s="2" t="s">
        <v>39</v>
      </c>
    </row>
    <row r="5" spans="1:14">
      <c r="A5" s="2" t="s">
        <v>40</v>
      </c>
      <c r="B5" s="2" t="s">
        <v>41</v>
      </c>
      <c r="C5" s="2" t="s">
        <v>33</v>
      </c>
      <c r="D5" s="2" t="s">
        <v>42</v>
      </c>
      <c r="E5" s="2" t="s">
        <v>43</v>
      </c>
      <c r="F5" s="2" t="s">
        <v>44</v>
      </c>
      <c r="G5" s="2" t="s">
        <v>45</v>
      </c>
      <c r="H5" s="2">
        <v>1</v>
      </c>
      <c r="I5" s="3">
        <v>24600000</v>
      </c>
      <c r="J5" s="3">
        <v>0</v>
      </c>
      <c r="K5" s="3">
        <v>24600000</v>
      </c>
      <c r="L5" s="2" t="s">
        <v>46</v>
      </c>
      <c r="M5" s="2" t="s">
        <v>22</v>
      </c>
      <c r="N5" s="2" t="s">
        <v>30</v>
      </c>
    </row>
    <row r="6" spans="1:14">
      <c r="A6" s="2" t="s">
        <v>47</v>
      </c>
      <c r="B6" s="2" t="s">
        <v>41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>
        <v>1</v>
      </c>
      <c r="I6" s="3">
        <v>41000000</v>
      </c>
      <c r="J6" s="3">
        <v>0</v>
      </c>
      <c r="K6" s="3">
        <v>41000000</v>
      </c>
      <c r="L6" s="2" t="s">
        <v>29</v>
      </c>
      <c r="M6" s="2" t="s">
        <v>22</v>
      </c>
      <c r="N6" s="2" t="s">
        <v>30</v>
      </c>
    </row>
    <row r="7" spans="1:14">
      <c r="A7" s="2" t="s">
        <v>53</v>
      </c>
      <c r="B7" s="2" t="s">
        <v>15</v>
      </c>
      <c r="C7" s="2" t="s">
        <v>26</v>
      </c>
      <c r="D7" s="2" t="s">
        <v>54</v>
      </c>
      <c r="E7" s="2" t="s">
        <v>55</v>
      </c>
      <c r="F7" s="2" t="s">
        <v>19</v>
      </c>
      <c r="G7" s="2" t="s">
        <v>20</v>
      </c>
      <c r="H7" s="2">
        <v>1</v>
      </c>
      <c r="I7" s="3">
        <v>33500000</v>
      </c>
      <c r="J7" s="3">
        <v>1005000</v>
      </c>
      <c r="K7" s="3">
        <v>32495000</v>
      </c>
      <c r="L7" s="2" t="s">
        <v>38</v>
      </c>
      <c r="M7" s="2" t="s">
        <v>22</v>
      </c>
      <c r="N7" s="2" t="s">
        <v>23</v>
      </c>
    </row>
    <row r="8" spans="1:14">
      <c r="A8" s="2" t="s">
        <v>56</v>
      </c>
      <c r="B8" s="2" t="s">
        <v>57</v>
      </c>
      <c r="C8" s="2" t="s">
        <v>16</v>
      </c>
      <c r="D8" s="2" t="s">
        <v>58</v>
      </c>
      <c r="E8" s="2" t="s">
        <v>59</v>
      </c>
      <c r="F8" s="2" t="s">
        <v>60</v>
      </c>
      <c r="G8" s="2" t="s">
        <v>61</v>
      </c>
      <c r="H8" s="2">
        <v>1</v>
      </c>
      <c r="I8" s="3">
        <v>21500000</v>
      </c>
      <c r="J8" s="3">
        <v>645000</v>
      </c>
      <c r="K8" s="3">
        <v>20855000</v>
      </c>
      <c r="L8" s="2" t="s">
        <v>62</v>
      </c>
      <c r="M8" s="2" t="s">
        <v>22</v>
      </c>
      <c r="N8" s="2" t="s">
        <v>30</v>
      </c>
    </row>
    <row r="9" spans="1:14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>
        <v>1</v>
      </c>
      <c r="I9" s="3">
        <v>17800000</v>
      </c>
      <c r="J9" s="3">
        <v>890000</v>
      </c>
      <c r="K9" s="3">
        <v>16910000</v>
      </c>
      <c r="L9" s="2" t="s">
        <v>29</v>
      </c>
      <c r="M9" s="2" t="s">
        <v>22</v>
      </c>
      <c r="N9" s="2" t="s">
        <v>30</v>
      </c>
    </row>
    <row r="10" spans="1:14">
      <c r="A10" s="2" t="s">
        <v>70</v>
      </c>
      <c r="B10" s="2" t="s">
        <v>25</v>
      </c>
      <c r="C10" s="2" t="s">
        <v>71</v>
      </c>
      <c r="D10" s="2" t="s">
        <v>72</v>
      </c>
      <c r="E10" s="2" t="s">
        <v>73</v>
      </c>
      <c r="F10" s="2" t="s">
        <v>19</v>
      </c>
      <c r="G10" s="2" t="s">
        <v>20</v>
      </c>
      <c r="H10" s="2">
        <v>1</v>
      </c>
      <c r="I10" s="3">
        <v>33500000</v>
      </c>
      <c r="J10" s="3">
        <v>670000</v>
      </c>
      <c r="K10" s="3">
        <v>32830000</v>
      </c>
      <c r="L10" s="2" t="s">
        <v>38</v>
      </c>
      <c r="M10" s="2" t="s">
        <v>22</v>
      </c>
      <c r="N10" s="2" t="s">
        <v>39</v>
      </c>
    </row>
    <row r="11" spans="1:14">
      <c r="A11" s="2" t="s">
        <v>74</v>
      </c>
      <c r="B11" s="2" t="s">
        <v>57</v>
      </c>
      <c r="C11" s="2" t="s">
        <v>33</v>
      </c>
      <c r="D11" s="2" t="s">
        <v>75</v>
      </c>
      <c r="E11" s="2" t="s">
        <v>76</v>
      </c>
      <c r="F11" s="2" t="s">
        <v>19</v>
      </c>
      <c r="G11" s="2" t="s">
        <v>20</v>
      </c>
      <c r="H11" s="2">
        <v>1</v>
      </c>
      <c r="I11" s="3">
        <v>33500000</v>
      </c>
      <c r="J11" s="3">
        <v>335000</v>
      </c>
      <c r="K11" s="3">
        <v>33165000</v>
      </c>
      <c r="L11" s="2" t="s">
        <v>62</v>
      </c>
      <c r="M11" s="2" t="s">
        <v>22</v>
      </c>
      <c r="N11" s="2" t="s">
        <v>77</v>
      </c>
    </row>
    <row r="12" spans="1:14">
      <c r="A12" s="2" t="s">
        <v>78</v>
      </c>
      <c r="B12" s="2" t="s">
        <v>79</v>
      </c>
      <c r="C12" s="2" t="s">
        <v>16</v>
      </c>
      <c r="D12" s="2" t="s">
        <v>80</v>
      </c>
      <c r="E12" s="2" t="s">
        <v>81</v>
      </c>
      <c r="F12" s="2" t="s">
        <v>51</v>
      </c>
      <c r="G12" s="2" t="s">
        <v>52</v>
      </c>
      <c r="H12" s="2">
        <v>1</v>
      </c>
      <c r="I12" s="3">
        <v>41000000</v>
      </c>
      <c r="J12" s="3">
        <v>0</v>
      </c>
      <c r="K12" s="3">
        <v>41000000</v>
      </c>
      <c r="L12" s="2" t="s">
        <v>29</v>
      </c>
      <c r="M12" s="2" t="s">
        <v>82</v>
      </c>
      <c r="N12" s="2" t="s">
        <v>23</v>
      </c>
    </row>
    <row r="13" spans="1:14">
      <c r="A13" s="2" t="s">
        <v>83</v>
      </c>
      <c r="B13" s="2" t="s">
        <v>84</v>
      </c>
      <c r="C13" s="2" t="s">
        <v>85</v>
      </c>
      <c r="D13" s="2" t="s">
        <v>80</v>
      </c>
      <c r="E13" s="2" t="s">
        <v>86</v>
      </c>
      <c r="F13" s="2" t="s">
        <v>19</v>
      </c>
      <c r="G13" s="2" t="s">
        <v>20</v>
      </c>
      <c r="H13" s="2">
        <v>1</v>
      </c>
      <c r="I13" s="3">
        <v>33500000</v>
      </c>
      <c r="J13" s="3">
        <v>1005000</v>
      </c>
      <c r="K13" s="3">
        <v>32495000</v>
      </c>
      <c r="L13" s="2" t="s">
        <v>29</v>
      </c>
      <c r="M13" s="2" t="s">
        <v>87</v>
      </c>
      <c r="N13" s="2" t="s">
        <v>39</v>
      </c>
    </row>
    <row r="14" spans="1:14">
      <c r="A14" s="2" t="s">
        <v>88</v>
      </c>
      <c r="B14" s="2" t="s">
        <v>25</v>
      </c>
      <c r="C14" s="2" t="s">
        <v>89</v>
      </c>
      <c r="D14" s="2" t="s">
        <v>54</v>
      </c>
      <c r="E14" s="2" t="s">
        <v>90</v>
      </c>
      <c r="F14" s="2" t="s">
        <v>91</v>
      </c>
      <c r="G14" s="2" t="s">
        <v>92</v>
      </c>
      <c r="H14" s="2">
        <v>1</v>
      </c>
      <c r="I14" s="3">
        <v>26900000</v>
      </c>
      <c r="J14" s="3">
        <v>807000</v>
      </c>
      <c r="K14" s="3">
        <v>26093000</v>
      </c>
      <c r="L14" s="2" t="s">
        <v>62</v>
      </c>
      <c r="M14" s="2" t="s">
        <v>22</v>
      </c>
      <c r="N14" s="2" t="s">
        <v>30</v>
      </c>
    </row>
    <row r="15" spans="1:14">
      <c r="A15" s="2" t="s">
        <v>93</v>
      </c>
      <c r="B15" s="2" t="s">
        <v>84</v>
      </c>
      <c r="C15" s="2" t="s">
        <v>48</v>
      </c>
      <c r="D15" s="2" t="s">
        <v>94</v>
      </c>
      <c r="E15" s="2" t="s">
        <v>95</v>
      </c>
      <c r="F15" s="2" t="s">
        <v>19</v>
      </c>
      <c r="G15" s="2" t="s">
        <v>20</v>
      </c>
      <c r="H15" s="2">
        <v>1</v>
      </c>
      <c r="I15" s="3">
        <v>33500000</v>
      </c>
      <c r="J15" s="3">
        <v>1005000</v>
      </c>
      <c r="K15" s="3">
        <v>32495000</v>
      </c>
      <c r="L15" s="2" t="s">
        <v>62</v>
      </c>
      <c r="M15" s="2" t="s">
        <v>82</v>
      </c>
      <c r="N15" s="2" t="s">
        <v>30</v>
      </c>
    </row>
    <row r="16" spans="1:14">
      <c r="A16" s="2" t="s">
        <v>96</v>
      </c>
      <c r="B16" s="2" t="s">
        <v>15</v>
      </c>
      <c r="C16" s="2" t="s">
        <v>97</v>
      </c>
      <c r="D16" s="2" t="s">
        <v>98</v>
      </c>
      <c r="E16" s="2" t="s">
        <v>28</v>
      </c>
      <c r="F16" s="2" t="s">
        <v>99</v>
      </c>
      <c r="G16" s="2" t="s">
        <v>100</v>
      </c>
      <c r="H16" s="2">
        <v>1</v>
      </c>
      <c r="I16" s="3">
        <v>29800000</v>
      </c>
      <c r="J16" s="3">
        <v>0</v>
      </c>
      <c r="K16" s="3">
        <v>29800000</v>
      </c>
      <c r="L16" s="2" t="s">
        <v>21</v>
      </c>
      <c r="M16" s="2" t="s">
        <v>22</v>
      </c>
      <c r="N16" s="2" t="s">
        <v>77</v>
      </c>
    </row>
    <row r="17" spans="1:14">
      <c r="A17" s="2" t="s">
        <v>101</v>
      </c>
      <c r="B17" s="2" t="s">
        <v>102</v>
      </c>
      <c r="C17" s="2" t="s">
        <v>16</v>
      </c>
      <c r="D17" s="2" t="s">
        <v>17</v>
      </c>
      <c r="E17" s="2" t="s">
        <v>103</v>
      </c>
      <c r="F17" s="2" t="s">
        <v>60</v>
      </c>
      <c r="G17" s="2" t="s">
        <v>61</v>
      </c>
      <c r="H17" s="2">
        <v>1</v>
      </c>
      <c r="I17" s="3">
        <v>21500000</v>
      </c>
      <c r="J17" s="3">
        <v>645000</v>
      </c>
      <c r="K17" s="3">
        <v>20855000</v>
      </c>
      <c r="L17" s="2" t="s">
        <v>21</v>
      </c>
      <c r="M17" s="2" t="s">
        <v>22</v>
      </c>
      <c r="N17" s="2" t="s">
        <v>23</v>
      </c>
    </row>
    <row r="18" spans="1:14">
      <c r="A18" s="2" t="s">
        <v>104</v>
      </c>
      <c r="B18" s="2" t="s">
        <v>105</v>
      </c>
      <c r="C18" s="2" t="s">
        <v>89</v>
      </c>
      <c r="D18" s="2" t="s">
        <v>94</v>
      </c>
      <c r="E18" s="2" t="s">
        <v>106</v>
      </c>
      <c r="F18" s="2" t="s">
        <v>68</v>
      </c>
      <c r="G18" s="2" t="s">
        <v>69</v>
      </c>
      <c r="H18" s="2">
        <v>1</v>
      </c>
      <c r="I18" s="3">
        <v>17800000</v>
      </c>
      <c r="J18" s="3">
        <v>0</v>
      </c>
      <c r="K18" s="3">
        <v>17800000</v>
      </c>
      <c r="L18" s="2" t="s">
        <v>38</v>
      </c>
      <c r="M18" s="2" t="s">
        <v>22</v>
      </c>
      <c r="N18" s="2" t="s">
        <v>30</v>
      </c>
    </row>
    <row r="19" spans="1:14">
      <c r="A19" s="2" t="s">
        <v>107</v>
      </c>
      <c r="B19" s="2" t="s">
        <v>108</v>
      </c>
      <c r="C19" s="2" t="s">
        <v>97</v>
      </c>
      <c r="D19" s="2" t="s">
        <v>42</v>
      </c>
      <c r="E19" s="2" t="s">
        <v>109</v>
      </c>
      <c r="F19" s="2" t="s">
        <v>60</v>
      </c>
      <c r="G19" s="2" t="s">
        <v>61</v>
      </c>
      <c r="H19" s="2">
        <v>1</v>
      </c>
      <c r="I19" s="3">
        <v>21500000</v>
      </c>
      <c r="J19" s="3">
        <v>215000</v>
      </c>
      <c r="K19" s="3">
        <v>21285000</v>
      </c>
      <c r="L19" s="2" t="s">
        <v>38</v>
      </c>
      <c r="M19" s="2" t="s">
        <v>22</v>
      </c>
      <c r="N19" s="2" t="s">
        <v>77</v>
      </c>
    </row>
    <row r="20" spans="1:14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99</v>
      </c>
      <c r="G20" s="2" t="s">
        <v>100</v>
      </c>
      <c r="H20" s="2">
        <v>1</v>
      </c>
      <c r="I20" s="3">
        <v>29800000</v>
      </c>
      <c r="J20" s="3">
        <v>1490000</v>
      </c>
      <c r="K20" s="3">
        <v>28310000</v>
      </c>
      <c r="L20" s="2" t="s">
        <v>38</v>
      </c>
      <c r="M20" s="2" t="s">
        <v>22</v>
      </c>
      <c r="N20" s="2" t="s">
        <v>77</v>
      </c>
    </row>
    <row r="21" spans="1:14">
      <c r="A21" s="2" t="s">
        <v>115</v>
      </c>
      <c r="B21" s="2" t="s">
        <v>57</v>
      </c>
      <c r="C21" s="2" t="s">
        <v>16</v>
      </c>
      <c r="D21" s="2" t="s">
        <v>113</v>
      </c>
      <c r="E21" s="2" t="s">
        <v>116</v>
      </c>
      <c r="F21" s="2" t="s">
        <v>60</v>
      </c>
      <c r="G21" s="2" t="s">
        <v>61</v>
      </c>
      <c r="H21" s="2">
        <v>2</v>
      </c>
      <c r="I21" s="3">
        <v>21500000</v>
      </c>
      <c r="J21" s="3">
        <v>2150000</v>
      </c>
      <c r="K21" s="3">
        <v>40850000</v>
      </c>
      <c r="L21" s="2" t="s">
        <v>38</v>
      </c>
      <c r="M21" s="2" t="s">
        <v>22</v>
      </c>
      <c r="N21" s="2" t="s">
        <v>77</v>
      </c>
    </row>
    <row r="22" spans="1:14">
      <c r="A22" s="2" t="s">
        <v>117</v>
      </c>
      <c r="B22" s="2" t="s">
        <v>111</v>
      </c>
      <c r="C22" s="2" t="s">
        <v>48</v>
      </c>
      <c r="D22" s="2" t="s">
        <v>42</v>
      </c>
      <c r="E22" s="2" t="s">
        <v>118</v>
      </c>
      <c r="F22" s="2" t="s">
        <v>91</v>
      </c>
      <c r="G22" s="2" t="s">
        <v>92</v>
      </c>
      <c r="H22" s="2">
        <v>1</v>
      </c>
      <c r="I22" s="3">
        <v>26900000</v>
      </c>
      <c r="J22" s="3">
        <v>269000</v>
      </c>
      <c r="K22" s="3">
        <v>26631000</v>
      </c>
      <c r="L22" s="2" t="s">
        <v>29</v>
      </c>
      <c r="M22" s="2" t="s">
        <v>22</v>
      </c>
      <c r="N22" s="2" t="s">
        <v>39</v>
      </c>
    </row>
    <row r="23" spans="1:14">
      <c r="A23" s="2" t="s">
        <v>119</v>
      </c>
      <c r="B23" s="2" t="s">
        <v>32</v>
      </c>
      <c r="C23" s="2" t="s">
        <v>97</v>
      </c>
      <c r="D23" s="2" t="s">
        <v>42</v>
      </c>
      <c r="E23" s="2" t="s">
        <v>120</v>
      </c>
      <c r="F23" s="2" t="s">
        <v>51</v>
      </c>
      <c r="G23" s="2" t="s">
        <v>52</v>
      </c>
      <c r="H23" s="2">
        <v>1</v>
      </c>
      <c r="I23" s="3">
        <v>41000000</v>
      </c>
      <c r="J23" s="3">
        <v>820000</v>
      </c>
      <c r="K23" s="3">
        <v>40180000</v>
      </c>
      <c r="L23" s="2" t="s">
        <v>46</v>
      </c>
      <c r="M23" s="2" t="s">
        <v>22</v>
      </c>
      <c r="N23" s="2" t="s">
        <v>39</v>
      </c>
    </row>
    <row r="24" spans="1:14">
      <c r="A24" s="2" t="s">
        <v>121</v>
      </c>
      <c r="B24" s="2" t="s">
        <v>122</v>
      </c>
      <c r="C24" s="2" t="s">
        <v>71</v>
      </c>
      <c r="D24" s="2" t="s">
        <v>49</v>
      </c>
      <c r="E24" s="2" t="s">
        <v>123</v>
      </c>
      <c r="F24" s="2" t="s">
        <v>60</v>
      </c>
      <c r="G24" s="2" t="s">
        <v>61</v>
      </c>
      <c r="H24" s="2">
        <v>1</v>
      </c>
      <c r="I24" s="3">
        <v>21500000</v>
      </c>
      <c r="J24" s="3">
        <v>430000</v>
      </c>
      <c r="K24" s="3">
        <v>21070000</v>
      </c>
      <c r="L24" s="2" t="s">
        <v>38</v>
      </c>
      <c r="M24" s="2" t="s">
        <v>22</v>
      </c>
      <c r="N24" s="2" t="s">
        <v>39</v>
      </c>
    </row>
    <row r="25" spans="1:14">
      <c r="A25" s="2" t="s">
        <v>124</v>
      </c>
      <c r="B25" s="2" t="s">
        <v>125</v>
      </c>
      <c r="C25" s="2" t="s">
        <v>65</v>
      </c>
      <c r="D25" s="2" t="s">
        <v>126</v>
      </c>
      <c r="E25" s="2" t="s">
        <v>127</v>
      </c>
      <c r="F25" s="2" t="s">
        <v>99</v>
      </c>
      <c r="G25" s="2" t="s">
        <v>100</v>
      </c>
      <c r="H25" s="2">
        <v>1</v>
      </c>
      <c r="I25" s="3">
        <v>29800000</v>
      </c>
      <c r="J25" s="3">
        <v>0</v>
      </c>
      <c r="K25" s="3">
        <v>29800000</v>
      </c>
      <c r="L25" s="2" t="s">
        <v>38</v>
      </c>
      <c r="M25" s="2" t="s">
        <v>82</v>
      </c>
      <c r="N25" s="2" t="s">
        <v>30</v>
      </c>
    </row>
    <row r="26" spans="1:14">
      <c r="A26" s="2" t="s">
        <v>128</v>
      </c>
      <c r="B26" s="2" t="s">
        <v>108</v>
      </c>
      <c r="C26" s="2" t="s">
        <v>112</v>
      </c>
      <c r="D26" s="2" t="s">
        <v>98</v>
      </c>
      <c r="E26" s="2" t="s">
        <v>35</v>
      </c>
      <c r="F26" s="2" t="s">
        <v>99</v>
      </c>
      <c r="G26" s="2" t="s">
        <v>100</v>
      </c>
      <c r="H26" s="2">
        <v>1</v>
      </c>
      <c r="I26" s="3">
        <v>29800000</v>
      </c>
      <c r="J26" s="3">
        <v>0</v>
      </c>
      <c r="K26" s="3">
        <v>29800000</v>
      </c>
      <c r="L26" s="2" t="s">
        <v>29</v>
      </c>
      <c r="M26" s="2" t="s">
        <v>22</v>
      </c>
      <c r="N26" s="2" t="s">
        <v>23</v>
      </c>
    </row>
    <row r="27" spans="1:14">
      <c r="A27" s="2" t="s">
        <v>129</v>
      </c>
      <c r="B27" s="2" t="s">
        <v>64</v>
      </c>
      <c r="C27" s="2" t="s">
        <v>71</v>
      </c>
      <c r="D27" s="2" t="s">
        <v>130</v>
      </c>
      <c r="E27" s="2" t="s">
        <v>131</v>
      </c>
      <c r="F27" s="2" t="s">
        <v>68</v>
      </c>
      <c r="G27" s="2" t="s">
        <v>69</v>
      </c>
      <c r="H27" s="2">
        <v>1</v>
      </c>
      <c r="I27" s="3">
        <v>17800000</v>
      </c>
      <c r="J27" s="3">
        <v>534000</v>
      </c>
      <c r="K27" s="3">
        <v>17266000</v>
      </c>
      <c r="L27" s="2" t="s">
        <v>21</v>
      </c>
      <c r="M27" s="2" t="s">
        <v>22</v>
      </c>
      <c r="N27" s="2" t="s">
        <v>77</v>
      </c>
    </row>
    <row r="28" spans="1:14">
      <c r="A28" s="2" t="s">
        <v>132</v>
      </c>
      <c r="B28" s="2" t="s">
        <v>57</v>
      </c>
      <c r="C28" s="2" t="s">
        <v>71</v>
      </c>
      <c r="D28" s="2" t="s">
        <v>17</v>
      </c>
      <c r="E28" s="2" t="s">
        <v>133</v>
      </c>
      <c r="F28" s="2" t="s">
        <v>19</v>
      </c>
      <c r="G28" s="2" t="s">
        <v>20</v>
      </c>
      <c r="H28" s="2">
        <v>1</v>
      </c>
      <c r="I28" s="3">
        <v>33500000</v>
      </c>
      <c r="J28" s="3">
        <v>1005000</v>
      </c>
      <c r="K28" s="3">
        <v>32495000</v>
      </c>
      <c r="L28" s="2" t="s">
        <v>21</v>
      </c>
      <c r="M28" s="2" t="s">
        <v>22</v>
      </c>
      <c r="N28" s="2" t="s">
        <v>39</v>
      </c>
    </row>
    <row r="29" spans="1:14">
      <c r="A29" s="2" t="s">
        <v>134</v>
      </c>
      <c r="B29" s="2" t="s">
        <v>135</v>
      </c>
      <c r="C29" s="2" t="s">
        <v>97</v>
      </c>
      <c r="D29" s="2" t="s">
        <v>113</v>
      </c>
      <c r="E29" s="2" t="s">
        <v>136</v>
      </c>
      <c r="F29" s="2" t="s">
        <v>68</v>
      </c>
      <c r="G29" s="2" t="s">
        <v>69</v>
      </c>
      <c r="H29" s="2">
        <v>1</v>
      </c>
      <c r="I29" s="3">
        <v>17800000</v>
      </c>
      <c r="J29" s="3">
        <v>356000</v>
      </c>
      <c r="K29" s="3">
        <v>17444000</v>
      </c>
      <c r="L29" s="2" t="s">
        <v>21</v>
      </c>
      <c r="M29" s="2" t="s">
        <v>22</v>
      </c>
      <c r="N29" s="2" t="s">
        <v>39</v>
      </c>
    </row>
    <row r="30" spans="1:14">
      <c r="A30" s="2" t="s">
        <v>137</v>
      </c>
      <c r="B30" s="2" t="s">
        <v>102</v>
      </c>
      <c r="C30" s="2" t="s">
        <v>112</v>
      </c>
      <c r="D30" s="2" t="s">
        <v>75</v>
      </c>
      <c r="E30" s="2" t="s">
        <v>138</v>
      </c>
      <c r="F30" s="2" t="s">
        <v>99</v>
      </c>
      <c r="G30" s="2" t="s">
        <v>100</v>
      </c>
      <c r="H30" s="2">
        <v>1</v>
      </c>
      <c r="I30" s="3">
        <v>29800000</v>
      </c>
      <c r="J30" s="3">
        <v>0</v>
      </c>
      <c r="K30" s="3">
        <v>29800000</v>
      </c>
      <c r="L30" s="2" t="s">
        <v>62</v>
      </c>
      <c r="M30" s="2" t="s">
        <v>22</v>
      </c>
      <c r="N30" s="2" t="s">
        <v>30</v>
      </c>
    </row>
    <row r="31" spans="1:14">
      <c r="A31" s="2" t="s">
        <v>139</v>
      </c>
      <c r="B31" s="2" t="s">
        <v>140</v>
      </c>
      <c r="C31" s="2" t="s">
        <v>85</v>
      </c>
      <c r="D31" s="2" t="s">
        <v>113</v>
      </c>
      <c r="E31" s="2" t="s">
        <v>141</v>
      </c>
      <c r="F31" s="2" t="s">
        <v>142</v>
      </c>
      <c r="G31" s="2" t="s">
        <v>143</v>
      </c>
      <c r="H31" s="2">
        <v>1</v>
      </c>
      <c r="I31" s="3">
        <v>18900000</v>
      </c>
      <c r="J31" s="3">
        <v>378000</v>
      </c>
      <c r="K31" s="3">
        <v>18522000</v>
      </c>
      <c r="L31" s="2" t="s">
        <v>62</v>
      </c>
      <c r="M31" s="2" t="s">
        <v>22</v>
      </c>
      <c r="N31" s="2" t="s">
        <v>23</v>
      </c>
    </row>
    <row r="32" spans="1:14">
      <c r="A32" s="2" t="s">
        <v>144</v>
      </c>
      <c r="B32" s="2" t="s">
        <v>111</v>
      </c>
      <c r="C32" s="2" t="s">
        <v>26</v>
      </c>
      <c r="D32" s="2" t="s">
        <v>145</v>
      </c>
      <c r="E32" s="2" t="s">
        <v>146</v>
      </c>
      <c r="F32" s="2" t="s">
        <v>19</v>
      </c>
      <c r="G32" s="2" t="s">
        <v>20</v>
      </c>
      <c r="H32" s="2">
        <v>1</v>
      </c>
      <c r="I32" s="3">
        <v>33500000</v>
      </c>
      <c r="J32" s="3">
        <v>1005000</v>
      </c>
      <c r="K32" s="3">
        <v>32495000</v>
      </c>
      <c r="L32" s="2" t="s">
        <v>21</v>
      </c>
      <c r="M32" s="2" t="s">
        <v>22</v>
      </c>
      <c r="N32" s="2" t="s">
        <v>39</v>
      </c>
    </row>
    <row r="33" spans="1:14">
      <c r="A33" s="2" t="s">
        <v>147</v>
      </c>
      <c r="B33" s="2" t="s">
        <v>111</v>
      </c>
      <c r="C33" s="2" t="s">
        <v>148</v>
      </c>
      <c r="D33" s="2" t="s">
        <v>17</v>
      </c>
      <c r="E33" s="2" t="s">
        <v>149</v>
      </c>
      <c r="F33" s="2" t="s">
        <v>68</v>
      </c>
      <c r="G33" s="2" t="s">
        <v>69</v>
      </c>
      <c r="H33" s="2">
        <v>1</v>
      </c>
      <c r="I33" s="3">
        <v>17800000</v>
      </c>
      <c r="J33" s="3">
        <v>356000</v>
      </c>
      <c r="K33" s="3">
        <v>17444000</v>
      </c>
      <c r="L33" s="2" t="s">
        <v>29</v>
      </c>
      <c r="M33" s="2" t="s">
        <v>22</v>
      </c>
      <c r="N33" s="2" t="s">
        <v>77</v>
      </c>
    </row>
    <row r="34" spans="1:14">
      <c r="A34" s="2" t="s">
        <v>150</v>
      </c>
      <c r="B34" s="2" t="s">
        <v>108</v>
      </c>
      <c r="C34" s="2" t="s">
        <v>148</v>
      </c>
      <c r="D34" s="2" t="s">
        <v>54</v>
      </c>
      <c r="E34" s="2" t="s">
        <v>151</v>
      </c>
      <c r="F34" s="2" t="s">
        <v>152</v>
      </c>
      <c r="G34" s="2" t="s">
        <v>153</v>
      </c>
      <c r="H34" s="2">
        <v>1</v>
      </c>
      <c r="I34" s="3">
        <v>27400000</v>
      </c>
      <c r="J34" s="3">
        <v>1370000</v>
      </c>
      <c r="K34" s="3">
        <v>26030000</v>
      </c>
      <c r="L34" s="2" t="s">
        <v>29</v>
      </c>
      <c r="M34" s="2" t="s">
        <v>22</v>
      </c>
      <c r="N34" s="2" t="s">
        <v>39</v>
      </c>
    </row>
    <row r="35" spans="1:14">
      <c r="A35" s="2" t="s">
        <v>154</v>
      </c>
      <c r="B35" s="2" t="s">
        <v>25</v>
      </c>
      <c r="C35" s="2" t="s">
        <v>155</v>
      </c>
      <c r="D35" s="2" t="s">
        <v>66</v>
      </c>
      <c r="E35" s="2" t="s">
        <v>156</v>
      </c>
      <c r="F35" s="2" t="s">
        <v>60</v>
      </c>
      <c r="G35" s="2" t="s">
        <v>61</v>
      </c>
      <c r="H35" s="2">
        <v>1</v>
      </c>
      <c r="I35" s="3">
        <v>21500000</v>
      </c>
      <c r="J35" s="3">
        <v>215000</v>
      </c>
      <c r="K35" s="3">
        <v>21285000</v>
      </c>
      <c r="L35" s="2" t="s">
        <v>46</v>
      </c>
      <c r="M35" s="2" t="s">
        <v>22</v>
      </c>
      <c r="N35" s="2" t="s">
        <v>30</v>
      </c>
    </row>
    <row r="36" spans="1:14">
      <c r="A36" s="2" t="s">
        <v>157</v>
      </c>
      <c r="B36" s="2" t="s">
        <v>122</v>
      </c>
      <c r="C36" s="2" t="s">
        <v>148</v>
      </c>
      <c r="D36" s="2" t="s">
        <v>34</v>
      </c>
      <c r="E36" s="2" t="s">
        <v>158</v>
      </c>
      <c r="F36" s="2" t="s">
        <v>36</v>
      </c>
      <c r="G36" s="2" t="s">
        <v>37</v>
      </c>
      <c r="H36" s="2">
        <v>1</v>
      </c>
      <c r="I36" s="3">
        <v>22300000</v>
      </c>
      <c r="J36" s="3">
        <v>0</v>
      </c>
      <c r="K36" s="3">
        <v>22300000</v>
      </c>
      <c r="L36" s="2" t="s">
        <v>29</v>
      </c>
      <c r="M36" s="2" t="s">
        <v>82</v>
      </c>
      <c r="N36" s="2" t="s">
        <v>30</v>
      </c>
    </row>
    <row r="37" spans="1:14">
      <c r="A37" s="2" t="s">
        <v>159</v>
      </c>
      <c r="B37" s="2" t="s">
        <v>84</v>
      </c>
      <c r="C37" s="2" t="s">
        <v>97</v>
      </c>
      <c r="D37" s="2" t="s">
        <v>94</v>
      </c>
      <c r="E37" s="2" t="s">
        <v>160</v>
      </c>
      <c r="F37" s="2" t="s">
        <v>19</v>
      </c>
      <c r="G37" s="2" t="s">
        <v>20</v>
      </c>
      <c r="H37" s="2">
        <v>1</v>
      </c>
      <c r="I37" s="3">
        <v>33500000</v>
      </c>
      <c r="J37" s="3">
        <v>670000</v>
      </c>
      <c r="K37" s="3">
        <v>32830000</v>
      </c>
      <c r="L37" s="2" t="s">
        <v>38</v>
      </c>
      <c r="M37" s="2" t="s">
        <v>22</v>
      </c>
      <c r="N37" s="2" t="s">
        <v>30</v>
      </c>
    </row>
    <row r="38" spans="1:14">
      <c r="A38" s="2" t="s">
        <v>161</v>
      </c>
      <c r="B38" s="2" t="s">
        <v>162</v>
      </c>
      <c r="C38" s="2" t="s">
        <v>33</v>
      </c>
      <c r="D38" s="2" t="s">
        <v>72</v>
      </c>
      <c r="E38" s="2" t="s">
        <v>163</v>
      </c>
      <c r="F38" s="2" t="s">
        <v>91</v>
      </c>
      <c r="G38" s="2" t="s">
        <v>92</v>
      </c>
      <c r="H38" s="2">
        <v>1</v>
      </c>
      <c r="I38" s="3">
        <v>26900000</v>
      </c>
      <c r="J38" s="3">
        <v>1345000</v>
      </c>
      <c r="K38" s="3">
        <v>25555000</v>
      </c>
      <c r="L38" s="2" t="s">
        <v>38</v>
      </c>
      <c r="M38" s="2" t="s">
        <v>22</v>
      </c>
      <c r="N38" s="2" t="s">
        <v>77</v>
      </c>
    </row>
    <row r="39" spans="1:14">
      <c r="A39" s="2" t="s">
        <v>164</v>
      </c>
      <c r="B39" s="2" t="s">
        <v>64</v>
      </c>
      <c r="C39" s="2" t="s">
        <v>48</v>
      </c>
      <c r="D39" s="2" t="s">
        <v>58</v>
      </c>
      <c r="E39" s="2" t="s">
        <v>165</v>
      </c>
      <c r="F39" s="2" t="s">
        <v>142</v>
      </c>
      <c r="G39" s="2" t="s">
        <v>143</v>
      </c>
      <c r="H39" s="2">
        <v>1</v>
      </c>
      <c r="I39" s="3">
        <v>18900000</v>
      </c>
      <c r="J39" s="3">
        <v>0</v>
      </c>
      <c r="K39" s="3">
        <v>18900000</v>
      </c>
      <c r="L39" s="2" t="s">
        <v>46</v>
      </c>
      <c r="M39" s="2" t="s">
        <v>22</v>
      </c>
      <c r="N39" s="2" t="s">
        <v>39</v>
      </c>
    </row>
    <row r="40" spans="1:14">
      <c r="A40" s="2" t="s">
        <v>166</v>
      </c>
      <c r="B40" s="2" t="s">
        <v>167</v>
      </c>
      <c r="C40" s="2" t="s">
        <v>148</v>
      </c>
      <c r="D40" s="2" t="s">
        <v>168</v>
      </c>
      <c r="E40" s="2" t="s">
        <v>169</v>
      </c>
      <c r="F40" s="2" t="s">
        <v>91</v>
      </c>
      <c r="G40" s="2" t="s">
        <v>92</v>
      </c>
      <c r="H40" s="2">
        <v>1</v>
      </c>
      <c r="I40" s="3">
        <v>26900000</v>
      </c>
      <c r="J40" s="3">
        <v>0</v>
      </c>
      <c r="K40" s="3">
        <v>26900000</v>
      </c>
      <c r="L40" s="2" t="s">
        <v>62</v>
      </c>
      <c r="M40" s="2" t="s">
        <v>22</v>
      </c>
      <c r="N40" s="2" t="s">
        <v>77</v>
      </c>
    </row>
    <row r="41" spans="1:14">
      <c r="A41" s="2" t="s">
        <v>170</v>
      </c>
      <c r="B41" s="2" t="s">
        <v>140</v>
      </c>
      <c r="C41" s="2" t="s">
        <v>65</v>
      </c>
      <c r="D41" s="2" t="s">
        <v>168</v>
      </c>
      <c r="E41" s="2" t="s">
        <v>171</v>
      </c>
      <c r="F41" s="2" t="s">
        <v>99</v>
      </c>
      <c r="G41" s="2" t="s">
        <v>100</v>
      </c>
      <c r="H41" s="2">
        <v>1</v>
      </c>
      <c r="I41" s="3">
        <v>29800000</v>
      </c>
      <c r="J41" s="3">
        <v>0</v>
      </c>
      <c r="K41" s="3">
        <v>29800000</v>
      </c>
      <c r="L41" s="2" t="s">
        <v>29</v>
      </c>
      <c r="M41" s="2" t="s">
        <v>22</v>
      </c>
      <c r="N41" s="2" t="s">
        <v>39</v>
      </c>
    </row>
    <row r="42" spans="1:14">
      <c r="A42" s="2" t="s">
        <v>172</v>
      </c>
      <c r="B42" s="2" t="s">
        <v>122</v>
      </c>
      <c r="C42" s="2" t="s">
        <v>71</v>
      </c>
      <c r="D42" s="2" t="s">
        <v>80</v>
      </c>
      <c r="E42" s="2" t="s">
        <v>43</v>
      </c>
      <c r="F42" s="2" t="s">
        <v>19</v>
      </c>
      <c r="G42" s="2" t="s">
        <v>20</v>
      </c>
      <c r="H42" s="2">
        <v>1</v>
      </c>
      <c r="I42" s="3">
        <v>33500000</v>
      </c>
      <c r="J42" s="3">
        <v>0</v>
      </c>
      <c r="K42" s="3">
        <v>33500000</v>
      </c>
      <c r="L42" s="2" t="s">
        <v>62</v>
      </c>
      <c r="M42" s="2" t="s">
        <v>22</v>
      </c>
      <c r="N42" s="2" t="s">
        <v>39</v>
      </c>
    </row>
    <row r="43" spans="1:14">
      <c r="A43" s="2" t="s">
        <v>173</v>
      </c>
      <c r="B43" s="2" t="s">
        <v>15</v>
      </c>
      <c r="C43" s="2" t="s">
        <v>26</v>
      </c>
      <c r="D43" s="2" t="s">
        <v>17</v>
      </c>
      <c r="E43" s="2" t="s">
        <v>174</v>
      </c>
      <c r="F43" s="2" t="s">
        <v>44</v>
      </c>
      <c r="G43" s="2" t="s">
        <v>45</v>
      </c>
      <c r="H43" s="2">
        <v>1</v>
      </c>
      <c r="I43" s="3">
        <v>24600000</v>
      </c>
      <c r="J43" s="3">
        <v>738000</v>
      </c>
      <c r="K43" s="3">
        <v>23862000</v>
      </c>
      <c r="L43" s="2" t="s">
        <v>62</v>
      </c>
      <c r="M43" s="2" t="s">
        <v>22</v>
      </c>
      <c r="N43" s="2" t="s">
        <v>39</v>
      </c>
    </row>
    <row r="44" spans="1:14">
      <c r="A44" s="2" t="s">
        <v>175</v>
      </c>
      <c r="B44" s="2" t="s">
        <v>108</v>
      </c>
      <c r="C44" s="2" t="s">
        <v>26</v>
      </c>
      <c r="D44" s="2" t="s">
        <v>80</v>
      </c>
      <c r="E44" s="2" t="s">
        <v>176</v>
      </c>
      <c r="F44" s="2" t="s">
        <v>142</v>
      </c>
      <c r="G44" s="2" t="s">
        <v>143</v>
      </c>
      <c r="H44" s="2">
        <v>1</v>
      </c>
      <c r="I44" s="3">
        <v>18900000</v>
      </c>
      <c r="J44" s="3">
        <v>945000</v>
      </c>
      <c r="K44" s="3">
        <v>17955000</v>
      </c>
      <c r="L44" s="2" t="s">
        <v>21</v>
      </c>
      <c r="M44" s="2" t="s">
        <v>22</v>
      </c>
      <c r="N44" s="2" t="s">
        <v>77</v>
      </c>
    </row>
    <row r="45" spans="1:14">
      <c r="A45" s="2" t="s">
        <v>177</v>
      </c>
      <c r="B45" s="2" t="s">
        <v>167</v>
      </c>
      <c r="C45" s="2" t="s">
        <v>48</v>
      </c>
      <c r="D45" s="2" t="s">
        <v>17</v>
      </c>
      <c r="E45" s="2" t="s">
        <v>178</v>
      </c>
      <c r="F45" s="2" t="s">
        <v>99</v>
      </c>
      <c r="G45" s="2" t="s">
        <v>100</v>
      </c>
      <c r="H45" s="2">
        <v>1</v>
      </c>
      <c r="I45" s="3">
        <v>29800000</v>
      </c>
      <c r="J45" s="3">
        <v>894000</v>
      </c>
      <c r="K45" s="3">
        <v>28906000</v>
      </c>
      <c r="L45" s="2" t="s">
        <v>46</v>
      </c>
      <c r="M45" s="2" t="s">
        <v>87</v>
      </c>
      <c r="N45" s="2" t="s">
        <v>39</v>
      </c>
    </row>
    <row r="46" spans="1:14">
      <c r="A46" s="2" t="s">
        <v>179</v>
      </c>
      <c r="B46" s="2" t="s">
        <v>25</v>
      </c>
      <c r="C46" s="2" t="s">
        <v>85</v>
      </c>
      <c r="D46" s="2" t="s">
        <v>72</v>
      </c>
      <c r="E46" s="2" t="s">
        <v>180</v>
      </c>
      <c r="F46" s="2" t="s">
        <v>99</v>
      </c>
      <c r="G46" s="2" t="s">
        <v>100</v>
      </c>
      <c r="H46" s="2">
        <v>1</v>
      </c>
      <c r="I46" s="3">
        <v>29800000</v>
      </c>
      <c r="J46" s="3">
        <v>1490000</v>
      </c>
      <c r="K46" s="3">
        <v>28310000</v>
      </c>
      <c r="L46" s="2" t="s">
        <v>38</v>
      </c>
      <c r="M46" s="2" t="s">
        <v>22</v>
      </c>
      <c r="N46" s="2" t="s">
        <v>30</v>
      </c>
    </row>
    <row r="47" spans="1:14">
      <c r="A47" s="2" t="s">
        <v>181</v>
      </c>
      <c r="B47" s="2" t="s">
        <v>25</v>
      </c>
      <c r="C47" s="2" t="s">
        <v>182</v>
      </c>
      <c r="D47" s="2" t="s">
        <v>17</v>
      </c>
      <c r="E47" s="2" t="s">
        <v>183</v>
      </c>
      <c r="F47" s="2" t="s">
        <v>44</v>
      </c>
      <c r="G47" s="2" t="s">
        <v>45</v>
      </c>
      <c r="H47" s="2">
        <v>1</v>
      </c>
      <c r="I47" s="3">
        <v>24600000</v>
      </c>
      <c r="J47" s="3">
        <v>738000</v>
      </c>
      <c r="K47" s="3">
        <v>23862000</v>
      </c>
      <c r="L47" s="2" t="s">
        <v>46</v>
      </c>
      <c r="M47" s="2" t="s">
        <v>82</v>
      </c>
      <c r="N47" s="2" t="s">
        <v>77</v>
      </c>
    </row>
    <row r="48" spans="1:14">
      <c r="A48" s="2" t="s">
        <v>184</v>
      </c>
      <c r="B48" s="2" t="s">
        <v>84</v>
      </c>
      <c r="C48" s="2" t="s">
        <v>85</v>
      </c>
      <c r="D48" s="2" t="s">
        <v>98</v>
      </c>
      <c r="E48" s="2" t="s">
        <v>146</v>
      </c>
      <c r="F48" s="2" t="s">
        <v>19</v>
      </c>
      <c r="G48" s="2" t="s">
        <v>20</v>
      </c>
      <c r="H48" s="2">
        <v>1</v>
      </c>
      <c r="I48" s="3">
        <v>33500000</v>
      </c>
      <c r="J48" s="3">
        <v>1005000</v>
      </c>
      <c r="K48" s="3">
        <v>32495000</v>
      </c>
      <c r="L48" s="2" t="s">
        <v>21</v>
      </c>
      <c r="M48" s="2" t="s">
        <v>82</v>
      </c>
      <c r="N48" s="2" t="s">
        <v>39</v>
      </c>
    </row>
    <row r="49" spans="1:14">
      <c r="A49" s="2" t="s">
        <v>185</v>
      </c>
      <c r="B49" s="2" t="s">
        <v>108</v>
      </c>
      <c r="C49" s="2" t="s">
        <v>65</v>
      </c>
      <c r="D49" s="2" t="s">
        <v>130</v>
      </c>
      <c r="E49" s="2" t="s">
        <v>120</v>
      </c>
      <c r="F49" s="2" t="s">
        <v>99</v>
      </c>
      <c r="G49" s="2" t="s">
        <v>100</v>
      </c>
      <c r="H49" s="2">
        <v>1</v>
      </c>
      <c r="I49" s="3">
        <v>29800000</v>
      </c>
      <c r="J49" s="3">
        <v>1490000</v>
      </c>
      <c r="K49" s="3">
        <v>28310000</v>
      </c>
      <c r="L49" s="2" t="s">
        <v>46</v>
      </c>
      <c r="M49" s="2" t="s">
        <v>22</v>
      </c>
      <c r="N49" s="2" t="s">
        <v>23</v>
      </c>
    </row>
    <row r="50" spans="1:14">
      <c r="A50" s="2" t="s">
        <v>186</v>
      </c>
      <c r="B50" s="2" t="s">
        <v>84</v>
      </c>
      <c r="C50" s="2" t="s">
        <v>155</v>
      </c>
      <c r="D50" s="2" t="s">
        <v>113</v>
      </c>
      <c r="E50" s="2" t="s">
        <v>187</v>
      </c>
      <c r="F50" s="2" t="s">
        <v>68</v>
      </c>
      <c r="G50" s="2" t="s">
        <v>69</v>
      </c>
      <c r="H50" s="2">
        <v>1</v>
      </c>
      <c r="I50" s="3">
        <v>17800000</v>
      </c>
      <c r="J50" s="3">
        <v>0</v>
      </c>
      <c r="K50" s="3">
        <v>17800000</v>
      </c>
      <c r="L50" s="2" t="s">
        <v>38</v>
      </c>
      <c r="M50" s="2" t="s">
        <v>82</v>
      </c>
      <c r="N50" s="2" t="s">
        <v>30</v>
      </c>
    </row>
    <row r="51" spans="1:14">
      <c r="A51" s="2" t="s">
        <v>188</v>
      </c>
      <c r="B51" s="2" t="s">
        <v>189</v>
      </c>
      <c r="C51" s="2" t="s">
        <v>85</v>
      </c>
      <c r="D51" s="2" t="s">
        <v>54</v>
      </c>
      <c r="E51" s="2" t="s">
        <v>190</v>
      </c>
      <c r="F51" s="2" t="s">
        <v>51</v>
      </c>
      <c r="G51" s="2" t="s">
        <v>52</v>
      </c>
      <c r="H51" s="2">
        <v>1</v>
      </c>
      <c r="I51" s="3">
        <v>41000000</v>
      </c>
      <c r="J51" s="3">
        <v>1230000</v>
      </c>
      <c r="K51" s="3">
        <v>39770000</v>
      </c>
      <c r="L51" s="2" t="s">
        <v>38</v>
      </c>
      <c r="M51" s="2" t="s">
        <v>22</v>
      </c>
      <c r="N51" s="2" t="s">
        <v>39</v>
      </c>
    </row>
    <row r="52" spans="1:14">
      <c r="A52" s="2" t="s">
        <v>191</v>
      </c>
      <c r="B52" s="2" t="s">
        <v>102</v>
      </c>
      <c r="C52" s="2" t="s">
        <v>71</v>
      </c>
      <c r="D52" s="2" t="s">
        <v>58</v>
      </c>
      <c r="E52" s="2" t="s">
        <v>192</v>
      </c>
      <c r="F52" s="2" t="s">
        <v>19</v>
      </c>
      <c r="G52" s="2" t="s">
        <v>20</v>
      </c>
      <c r="H52" s="2">
        <v>1</v>
      </c>
      <c r="I52" s="3">
        <v>33500000</v>
      </c>
      <c r="J52" s="3">
        <v>1675000</v>
      </c>
      <c r="K52" s="3">
        <v>31825000</v>
      </c>
      <c r="L52" s="2" t="s">
        <v>46</v>
      </c>
      <c r="M52" s="2" t="s">
        <v>82</v>
      </c>
      <c r="N52" s="2" t="s">
        <v>30</v>
      </c>
    </row>
    <row r="53" spans="1:14">
      <c r="A53" s="2" t="s">
        <v>193</v>
      </c>
      <c r="B53" s="2" t="s">
        <v>25</v>
      </c>
      <c r="C53" s="2" t="s">
        <v>97</v>
      </c>
      <c r="D53" s="2" t="s">
        <v>130</v>
      </c>
      <c r="E53" s="2" t="s">
        <v>194</v>
      </c>
      <c r="F53" s="2" t="s">
        <v>91</v>
      </c>
      <c r="G53" s="2" t="s">
        <v>92</v>
      </c>
      <c r="H53" s="2">
        <v>1</v>
      </c>
      <c r="I53" s="3">
        <v>26900000</v>
      </c>
      <c r="J53" s="3">
        <v>0</v>
      </c>
      <c r="K53" s="3">
        <v>26900000</v>
      </c>
      <c r="L53" s="2" t="s">
        <v>29</v>
      </c>
      <c r="M53" s="2" t="s">
        <v>22</v>
      </c>
      <c r="N53" s="2" t="s">
        <v>23</v>
      </c>
    </row>
    <row r="54" spans="1:14">
      <c r="A54" s="2" t="s">
        <v>195</v>
      </c>
      <c r="B54" s="2" t="s">
        <v>108</v>
      </c>
      <c r="C54" s="2" t="s">
        <v>182</v>
      </c>
      <c r="D54" s="2" t="s">
        <v>27</v>
      </c>
      <c r="E54" s="2" t="s">
        <v>90</v>
      </c>
      <c r="F54" s="2" t="s">
        <v>142</v>
      </c>
      <c r="G54" s="2" t="s">
        <v>143</v>
      </c>
      <c r="H54" s="2">
        <v>1</v>
      </c>
      <c r="I54" s="3">
        <v>18900000</v>
      </c>
      <c r="J54" s="3">
        <v>0</v>
      </c>
      <c r="K54" s="3">
        <v>18900000</v>
      </c>
      <c r="L54" s="2" t="s">
        <v>62</v>
      </c>
      <c r="M54" s="2" t="s">
        <v>22</v>
      </c>
      <c r="N54" s="2" t="s">
        <v>23</v>
      </c>
    </row>
    <row r="55" spans="1:14">
      <c r="A55" s="2" t="s">
        <v>196</v>
      </c>
      <c r="B55" s="2" t="s">
        <v>79</v>
      </c>
      <c r="C55" s="2" t="s">
        <v>16</v>
      </c>
      <c r="D55" s="2" t="s">
        <v>113</v>
      </c>
      <c r="E55" s="2" t="s">
        <v>197</v>
      </c>
      <c r="F55" s="2" t="s">
        <v>142</v>
      </c>
      <c r="G55" s="2" t="s">
        <v>143</v>
      </c>
      <c r="H55" s="2">
        <v>2</v>
      </c>
      <c r="I55" s="3">
        <v>18900000</v>
      </c>
      <c r="J55" s="3">
        <v>1890000</v>
      </c>
      <c r="K55" s="3">
        <v>35910000</v>
      </c>
      <c r="L55" s="2" t="s">
        <v>38</v>
      </c>
      <c r="M55" s="2" t="s">
        <v>22</v>
      </c>
      <c r="N55" s="2" t="s">
        <v>30</v>
      </c>
    </row>
    <row r="56" spans="1:14">
      <c r="A56" s="2" t="s">
        <v>198</v>
      </c>
      <c r="B56" s="2" t="s">
        <v>41</v>
      </c>
      <c r="C56" s="2" t="s">
        <v>33</v>
      </c>
      <c r="D56" s="2" t="s">
        <v>54</v>
      </c>
      <c r="E56" s="2" t="s">
        <v>199</v>
      </c>
      <c r="F56" s="2" t="s">
        <v>99</v>
      </c>
      <c r="G56" s="2" t="s">
        <v>100</v>
      </c>
      <c r="H56" s="2">
        <v>1</v>
      </c>
      <c r="I56" s="3">
        <v>29800000</v>
      </c>
      <c r="J56" s="3">
        <v>596000</v>
      </c>
      <c r="K56" s="3">
        <v>29204000</v>
      </c>
      <c r="L56" s="2" t="s">
        <v>29</v>
      </c>
      <c r="M56" s="2" t="s">
        <v>22</v>
      </c>
      <c r="N56" s="2" t="s">
        <v>23</v>
      </c>
    </row>
    <row r="57" spans="1:14">
      <c r="A57" s="2" t="s">
        <v>200</v>
      </c>
      <c r="B57" s="2" t="s">
        <v>57</v>
      </c>
      <c r="C57" s="2" t="s">
        <v>112</v>
      </c>
      <c r="D57" s="2" t="s">
        <v>201</v>
      </c>
      <c r="E57" s="2" t="s">
        <v>202</v>
      </c>
      <c r="F57" s="2" t="s">
        <v>19</v>
      </c>
      <c r="G57" s="2" t="s">
        <v>20</v>
      </c>
      <c r="H57" s="2">
        <v>1</v>
      </c>
      <c r="I57" s="3">
        <v>33500000</v>
      </c>
      <c r="J57" s="3">
        <v>0</v>
      </c>
      <c r="K57" s="3">
        <v>33500000</v>
      </c>
      <c r="L57" s="2" t="s">
        <v>46</v>
      </c>
      <c r="M57" s="2" t="s">
        <v>82</v>
      </c>
      <c r="N57" s="2" t="s">
        <v>23</v>
      </c>
    </row>
    <row r="58" spans="1:14">
      <c r="A58" s="2" t="s">
        <v>203</v>
      </c>
      <c r="B58" s="2" t="s">
        <v>140</v>
      </c>
      <c r="C58" s="2" t="s">
        <v>97</v>
      </c>
      <c r="D58" s="2" t="s">
        <v>42</v>
      </c>
      <c r="E58" s="2" t="s">
        <v>204</v>
      </c>
      <c r="F58" s="2" t="s">
        <v>19</v>
      </c>
      <c r="G58" s="2" t="s">
        <v>20</v>
      </c>
      <c r="H58" s="2">
        <v>1</v>
      </c>
      <c r="I58" s="3">
        <v>33500000</v>
      </c>
      <c r="J58" s="3">
        <v>1005000</v>
      </c>
      <c r="K58" s="3">
        <v>32495000</v>
      </c>
      <c r="L58" s="2" t="s">
        <v>62</v>
      </c>
      <c r="M58" s="2" t="s">
        <v>22</v>
      </c>
      <c r="N58" s="2" t="s">
        <v>30</v>
      </c>
    </row>
    <row r="59" spans="1:14">
      <c r="A59" s="2" t="s">
        <v>205</v>
      </c>
      <c r="B59" s="2" t="s">
        <v>25</v>
      </c>
      <c r="C59" s="2" t="s">
        <v>33</v>
      </c>
      <c r="D59" s="2" t="s">
        <v>54</v>
      </c>
      <c r="E59" s="2" t="s">
        <v>138</v>
      </c>
      <c r="F59" s="2" t="s">
        <v>68</v>
      </c>
      <c r="G59" s="2" t="s">
        <v>69</v>
      </c>
      <c r="H59" s="2">
        <v>1</v>
      </c>
      <c r="I59" s="3">
        <v>17800000</v>
      </c>
      <c r="J59" s="3">
        <v>534000</v>
      </c>
      <c r="K59" s="3">
        <v>17266000</v>
      </c>
      <c r="L59" s="2" t="s">
        <v>38</v>
      </c>
      <c r="M59" s="2" t="s">
        <v>22</v>
      </c>
      <c r="N59" s="2" t="s">
        <v>77</v>
      </c>
    </row>
    <row r="60" spans="1:14">
      <c r="A60" s="2" t="s">
        <v>206</v>
      </c>
      <c r="B60" s="2" t="s">
        <v>140</v>
      </c>
      <c r="C60" s="2" t="s">
        <v>33</v>
      </c>
      <c r="D60" s="2" t="s">
        <v>168</v>
      </c>
      <c r="E60" s="2" t="s">
        <v>207</v>
      </c>
      <c r="F60" s="2" t="s">
        <v>51</v>
      </c>
      <c r="G60" s="2" t="s">
        <v>52</v>
      </c>
      <c r="H60" s="2">
        <v>1</v>
      </c>
      <c r="I60" s="3">
        <v>41000000</v>
      </c>
      <c r="J60" s="3">
        <v>2050000</v>
      </c>
      <c r="K60" s="3">
        <v>38950000</v>
      </c>
      <c r="L60" s="2" t="s">
        <v>21</v>
      </c>
      <c r="M60" s="2" t="s">
        <v>22</v>
      </c>
      <c r="N60" s="2" t="s">
        <v>77</v>
      </c>
    </row>
    <row r="61" spans="1:14">
      <c r="A61" s="2" t="s">
        <v>208</v>
      </c>
      <c r="B61" s="2" t="s">
        <v>108</v>
      </c>
      <c r="C61" s="2" t="s">
        <v>97</v>
      </c>
      <c r="D61" s="2" t="s">
        <v>17</v>
      </c>
      <c r="E61" s="2" t="s">
        <v>209</v>
      </c>
      <c r="F61" s="2" t="s">
        <v>19</v>
      </c>
      <c r="G61" s="2" t="s">
        <v>20</v>
      </c>
      <c r="H61" s="2">
        <v>1</v>
      </c>
      <c r="I61" s="3">
        <v>33500000</v>
      </c>
      <c r="J61" s="3">
        <v>670000</v>
      </c>
      <c r="K61" s="3">
        <v>32830000</v>
      </c>
      <c r="L61" s="2" t="s">
        <v>21</v>
      </c>
      <c r="M61" s="2" t="s">
        <v>22</v>
      </c>
      <c r="N61" s="2" t="s">
        <v>77</v>
      </c>
    </row>
    <row r="62" spans="1:14">
      <c r="A62" s="2" t="s">
        <v>210</v>
      </c>
      <c r="B62" s="2" t="s">
        <v>211</v>
      </c>
      <c r="C62" s="2" t="s">
        <v>212</v>
      </c>
      <c r="D62" s="2"/>
      <c r="E62" s="2" t="s">
        <v>213</v>
      </c>
      <c r="F62" s="2" t="s">
        <v>51</v>
      </c>
      <c r="G62" s="2" t="s">
        <v>52</v>
      </c>
      <c r="H62" s="2">
        <v>1</v>
      </c>
      <c r="I62" s="3">
        <v>41000000</v>
      </c>
      <c r="J62" s="3">
        <v>0</v>
      </c>
      <c r="K62" s="3">
        <v>41000000</v>
      </c>
      <c r="L62" s="2" t="s">
        <v>62</v>
      </c>
      <c r="M62" s="2" t="s">
        <v>87</v>
      </c>
      <c r="N62" s="2" t="s">
        <v>30</v>
      </c>
    </row>
    <row r="63" spans="1:14">
      <c r="A63" s="2" t="s">
        <v>214</v>
      </c>
      <c r="B63" s="2" t="s">
        <v>215</v>
      </c>
      <c r="C63" s="2" t="s">
        <v>65</v>
      </c>
      <c r="D63" s="2" t="s">
        <v>130</v>
      </c>
      <c r="E63" s="2" t="s">
        <v>216</v>
      </c>
      <c r="F63" s="2" t="s">
        <v>60</v>
      </c>
      <c r="G63" s="2" t="s">
        <v>61</v>
      </c>
      <c r="H63" s="2">
        <v>1</v>
      </c>
      <c r="I63" s="3">
        <v>21500000</v>
      </c>
      <c r="J63" s="3">
        <v>1075000</v>
      </c>
      <c r="K63" s="3">
        <v>20425000</v>
      </c>
      <c r="L63" s="2" t="s">
        <v>46</v>
      </c>
      <c r="M63" s="2" t="s">
        <v>22</v>
      </c>
      <c r="N63" s="2" t="s">
        <v>30</v>
      </c>
    </row>
    <row r="64" spans="1:14">
      <c r="A64" s="2" t="s">
        <v>217</v>
      </c>
      <c r="B64" s="2" t="s">
        <v>57</v>
      </c>
      <c r="C64" s="2" t="s">
        <v>155</v>
      </c>
      <c r="D64" s="2" t="s">
        <v>168</v>
      </c>
      <c r="E64" s="2" t="s">
        <v>35</v>
      </c>
      <c r="F64" s="2" t="s">
        <v>152</v>
      </c>
      <c r="G64" s="2" t="s">
        <v>153</v>
      </c>
      <c r="H64" s="2">
        <v>1</v>
      </c>
      <c r="I64" s="3">
        <v>27400000</v>
      </c>
      <c r="J64" s="3">
        <v>1370000</v>
      </c>
      <c r="K64" s="3">
        <v>26030000</v>
      </c>
      <c r="L64" s="2" t="s">
        <v>21</v>
      </c>
      <c r="M64" s="2" t="s">
        <v>82</v>
      </c>
      <c r="N64" s="2" t="s">
        <v>39</v>
      </c>
    </row>
    <row r="65" spans="1:14">
      <c r="A65" s="2" t="s">
        <v>218</v>
      </c>
      <c r="B65" s="2" t="s">
        <v>215</v>
      </c>
      <c r="C65" s="2" t="s">
        <v>16</v>
      </c>
      <c r="D65" s="2" t="s">
        <v>34</v>
      </c>
      <c r="E65" s="2" t="s">
        <v>219</v>
      </c>
      <c r="F65" s="2" t="s">
        <v>19</v>
      </c>
      <c r="G65" s="2" t="s">
        <v>20</v>
      </c>
      <c r="H65" s="2">
        <v>2</v>
      </c>
      <c r="I65" s="3">
        <v>33500000</v>
      </c>
      <c r="J65" s="3">
        <v>0</v>
      </c>
      <c r="K65" s="3">
        <v>67000000</v>
      </c>
      <c r="L65" s="2" t="s">
        <v>29</v>
      </c>
      <c r="M65" s="2" t="s">
        <v>22</v>
      </c>
      <c r="N65" s="2" t="s">
        <v>77</v>
      </c>
    </row>
    <row r="66" spans="1:14">
      <c r="A66" s="2" t="s">
        <v>220</v>
      </c>
      <c r="B66" s="2" t="s">
        <v>84</v>
      </c>
      <c r="C66" s="2" t="s">
        <v>71</v>
      </c>
      <c r="D66" s="2" t="s">
        <v>27</v>
      </c>
      <c r="E66" s="2" t="s">
        <v>221</v>
      </c>
      <c r="F66" s="2" t="s">
        <v>99</v>
      </c>
      <c r="G66" s="2" t="s">
        <v>100</v>
      </c>
      <c r="H66" s="2">
        <v>1</v>
      </c>
      <c r="I66" s="3">
        <v>29800000</v>
      </c>
      <c r="J66" s="3">
        <v>596000</v>
      </c>
      <c r="K66" s="3">
        <v>29204000</v>
      </c>
      <c r="L66" s="2" t="s">
        <v>21</v>
      </c>
      <c r="M66" s="2" t="s">
        <v>22</v>
      </c>
      <c r="N66" s="2" t="s">
        <v>30</v>
      </c>
    </row>
    <row r="67" spans="1:14">
      <c r="A67" s="2" t="s">
        <v>222</v>
      </c>
      <c r="B67" s="2" t="s">
        <v>140</v>
      </c>
      <c r="C67" s="2" t="s">
        <v>16</v>
      </c>
      <c r="D67" s="2" t="s">
        <v>54</v>
      </c>
      <c r="E67" s="2" t="s">
        <v>223</v>
      </c>
      <c r="F67" s="2" t="s">
        <v>152</v>
      </c>
      <c r="G67" s="2" t="s">
        <v>153</v>
      </c>
      <c r="H67" s="2">
        <v>1</v>
      </c>
      <c r="I67" s="3">
        <v>27400000</v>
      </c>
      <c r="J67" s="3">
        <v>1370000</v>
      </c>
      <c r="K67" s="3">
        <v>26030000</v>
      </c>
      <c r="L67" s="2" t="s">
        <v>29</v>
      </c>
      <c r="M67" s="2" t="s">
        <v>22</v>
      </c>
      <c r="N67" s="2" t="s">
        <v>23</v>
      </c>
    </row>
    <row r="68" spans="1:14">
      <c r="A68" s="2" t="s">
        <v>224</v>
      </c>
      <c r="B68" s="2" t="s">
        <v>189</v>
      </c>
      <c r="C68" s="2" t="s">
        <v>26</v>
      </c>
      <c r="D68" s="2" t="s">
        <v>54</v>
      </c>
      <c r="E68" s="2" t="s">
        <v>225</v>
      </c>
      <c r="F68" s="2" t="s">
        <v>60</v>
      </c>
      <c r="G68" s="2" t="s">
        <v>61</v>
      </c>
      <c r="H68" s="2">
        <v>1</v>
      </c>
      <c r="I68" s="3">
        <v>21500000</v>
      </c>
      <c r="J68" s="3">
        <v>430000</v>
      </c>
      <c r="K68" s="3">
        <v>21070000</v>
      </c>
      <c r="L68" s="2" t="s">
        <v>21</v>
      </c>
      <c r="M68" s="2" t="s">
        <v>22</v>
      </c>
      <c r="N68" s="2" t="s">
        <v>39</v>
      </c>
    </row>
    <row r="69" spans="1:14">
      <c r="A69" s="2" t="s">
        <v>226</v>
      </c>
      <c r="B69" s="2" t="s">
        <v>215</v>
      </c>
      <c r="C69" s="2" t="s">
        <v>26</v>
      </c>
      <c r="D69" s="2" t="s">
        <v>113</v>
      </c>
      <c r="E69" s="2" t="s">
        <v>227</v>
      </c>
      <c r="F69" s="2" t="s">
        <v>68</v>
      </c>
      <c r="G69" s="2" t="s">
        <v>69</v>
      </c>
      <c r="H69" s="2">
        <v>1</v>
      </c>
      <c r="I69" s="3">
        <v>17800000</v>
      </c>
      <c r="J69" s="3">
        <v>178000</v>
      </c>
      <c r="K69" s="3">
        <v>17622000</v>
      </c>
      <c r="L69" s="2" t="s">
        <v>46</v>
      </c>
      <c r="M69" s="2" t="s">
        <v>22</v>
      </c>
      <c r="N69" s="2" t="s">
        <v>39</v>
      </c>
    </row>
    <row r="70" spans="1:14">
      <c r="A70" s="2" t="s">
        <v>228</v>
      </c>
      <c r="B70" s="2" t="s">
        <v>15</v>
      </c>
      <c r="C70" s="2" t="s">
        <v>182</v>
      </c>
      <c r="D70" s="2" t="s">
        <v>98</v>
      </c>
      <c r="E70" s="2" t="s">
        <v>35</v>
      </c>
      <c r="F70" s="2" t="s">
        <v>91</v>
      </c>
      <c r="G70" s="2" t="s">
        <v>92</v>
      </c>
      <c r="H70" s="2">
        <v>1</v>
      </c>
      <c r="I70" s="3">
        <v>26900000</v>
      </c>
      <c r="J70" s="3">
        <v>807000</v>
      </c>
      <c r="K70" s="3">
        <v>26093000</v>
      </c>
      <c r="L70" s="2" t="s">
        <v>46</v>
      </c>
      <c r="M70" s="2" t="s">
        <v>22</v>
      </c>
      <c r="N70" s="2" t="s">
        <v>39</v>
      </c>
    </row>
    <row r="71" spans="1:14">
      <c r="A71" s="2" t="s">
        <v>229</v>
      </c>
      <c r="B71" s="2" t="s">
        <v>125</v>
      </c>
      <c r="C71" s="2" t="s">
        <v>26</v>
      </c>
      <c r="D71" s="2" t="s">
        <v>27</v>
      </c>
      <c r="E71" s="2" t="s">
        <v>230</v>
      </c>
      <c r="F71" s="2" t="s">
        <v>142</v>
      </c>
      <c r="G71" s="2" t="s">
        <v>143</v>
      </c>
      <c r="H71" s="2">
        <v>1</v>
      </c>
      <c r="I71" s="3">
        <v>18900000</v>
      </c>
      <c r="J71" s="3">
        <v>189000</v>
      </c>
      <c r="K71" s="3">
        <v>18711000</v>
      </c>
      <c r="L71" s="2" t="s">
        <v>29</v>
      </c>
      <c r="M71" s="2" t="s">
        <v>22</v>
      </c>
      <c r="N71" s="2" t="s">
        <v>23</v>
      </c>
    </row>
    <row r="72" spans="1:14">
      <c r="A72" s="2" t="s">
        <v>231</v>
      </c>
      <c r="B72" s="2" t="s">
        <v>57</v>
      </c>
      <c r="C72" s="2" t="s">
        <v>148</v>
      </c>
      <c r="D72" s="2" t="s">
        <v>80</v>
      </c>
      <c r="E72" s="2" t="s">
        <v>232</v>
      </c>
      <c r="F72" s="2" t="s">
        <v>152</v>
      </c>
      <c r="G72" s="2" t="s">
        <v>153</v>
      </c>
      <c r="H72" s="2">
        <v>1</v>
      </c>
      <c r="I72" s="3">
        <v>27400000</v>
      </c>
      <c r="J72" s="3">
        <v>0</v>
      </c>
      <c r="K72" s="3">
        <v>27400000</v>
      </c>
      <c r="L72" s="2" t="s">
        <v>38</v>
      </c>
      <c r="M72" s="2" t="s">
        <v>82</v>
      </c>
      <c r="N72" s="2" t="s">
        <v>30</v>
      </c>
    </row>
    <row r="73" spans="1:14">
      <c r="A73" s="2" t="s">
        <v>233</v>
      </c>
      <c r="B73" s="2" t="s">
        <v>102</v>
      </c>
      <c r="C73" s="2" t="s">
        <v>48</v>
      </c>
      <c r="D73" s="2" t="s">
        <v>113</v>
      </c>
      <c r="E73" s="2" t="s">
        <v>234</v>
      </c>
      <c r="F73" s="2" t="s">
        <v>44</v>
      </c>
      <c r="G73" s="2" t="s">
        <v>45</v>
      </c>
      <c r="H73" s="2">
        <v>1</v>
      </c>
      <c r="I73" s="3">
        <v>24600000</v>
      </c>
      <c r="J73" s="3">
        <v>492000</v>
      </c>
      <c r="K73" s="3">
        <v>24108000</v>
      </c>
      <c r="L73" s="2" t="s">
        <v>38</v>
      </c>
      <c r="M73" s="2" t="s">
        <v>22</v>
      </c>
      <c r="N73" s="2" t="s">
        <v>23</v>
      </c>
    </row>
    <row r="74" spans="1:14">
      <c r="A74" s="2" t="s">
        <v>235</v>
      </c>
      <c r="B74" s="2" t="s">
        <v>102</v>
      </c>
      <c r="C74" s="2" t="s">
        <v>26</v>
      </c>
      <c r="D74" s="2" t="s">
        <v>130</v>
      </c>
      <c r="E74" s="2" t="s">
        <v>236</v>
      </c>
      <c r="F74" s="2" t="s">
        <v>152</v>
      </c>
      <c r="G74" s="2" t="s">
        <v>153</v>
      </c>
      <c r="H74" s="2">
        <v>1</v>
      </c>
      <c r="I74" s="3">
        <v>27400000</v>
      </c>
      <c r="J74" s="3">
        <v>822000</v>
      </c>
      <c r="K74" s="3">
        <v>26578000</v>
      </c>
      <c r="L74" s="2" t="s">
        <v>62</v>
      </c>
      <c r="M74" s="2" t="s">
        <v>82</v>
      </c>
      <c r="N74" s="2" t="s">
        <v>39</v>
      </c>
    </row>
    <row r="75" spans="1:14">
      <c r="A75" s="2" t="s">
        <v>237</v>
      </c>
      <c r="B75" s="2" t="s">
        <v>57</v>
      </c>
      <c r="C75" s="2" t="s">
        <v>85</v>
      </c>
      <c r="D75" s="2" t="s">
        <v>58</v>
      </c>
      <c r="E75" s="2" t="s">
        <v>238</v>
      </c>
      <c r="F75" s="2" t="s">
        <v>60</v>
      </c>
      <c r="G75" s="2" t="s">
        <v>61</v>
      </c>
      <c r="H75" s="2">
        <v>1</v>
      </c>
      <c r="I75" s="3">
        <v>21500000</v>
      </c>
      <c r="J75" s="3">
        <v>1075000</v>
      </c>
      <c r="K75" s="3">
        <v>20425000</v>
      </c>
      <c r="L75" s="2" t="s">
        <v>21</v>
      </c>
      <c r="M75" s="2" t="s">
        <v>22</v>
      </c>
      <c r="N75" s="2" t="s">
        <v>39</v>
      </c>
    </row>
    <row r="76" spans="1:14">
      <c r="A76" s="2" t="s">
        <v>239</v>
      </c>
      <c r="B76" s="2" t="s">
        <v>15</v>
      </c>
      <c r="C76" s="2" t="s">
        <v>26</v>
      </c>
      <c r="D76" s="2" t="s">
        <v>58</v>
      </c>
      <c r="E76" s="2" t="s">
        <v>240</v>
      </c>
      <c r="F76" s="2" t="s">
        <v>19</v>
      </c>
      <c r="G76" s="2" t="s">
        <v>20</v>
      </c>
      <c r="H76" s="2">
        <v>1</v>
      </c>
      <c r="I76" s="3">
        <v>33500000</v>
      </c>
      <c r="J76" s="3">
        <v>335000</v>
      </c>
      <c r="K76" s="3">
        <v>33165000</v>
      </c>
      <c r="L76" s="2" t="s">
        <v>62</v>
      </c>
      <c r="M76" s="2" t="s">
        <v>22</v>
      </c>
      <c r="N76" s="2" t="s">
        <v>23</v>
      </c>
    </row>
    <row r="77" spans="1:14">
      <c r="A77" s="2" t="s">
        <v>241</v>
      </c>
      <c r="B77" s="2" t="s">
        <v>167</v>
      </c>
      <c r="C77" s="2" t="s">
        <v>155</v>
      </c>
      <c r="D77" s="2" t="s">
        <v>242</v>
      </c>
      <c r="E77" s="2" t="s">
        <v>243</v>
      </c>
      <c r="F77" s="2" t="s">
        <v>99</v>
      </c>
      <c r="G77" s="2" t="s">
        <v>100</v>
      </c>
      <c r="H77" s="2">
        <v>1</v>
      </c>
      <c r="I77" s="3">
        <v>29800000</v>
      </c>
      <c r="J77" s="3">
        <v>596000</v>
      </c>
      <c r="K77" s="3">
        <v>29204000</v>
      </c>
      <c r="L77" s="2" t="s">
        <v>46</v>
      </c>
      <c r="M77" s="2" t="s">
        <v>22</v>
      </c>
      <c r="N77" s="2" t="s">
        <v>39</v>
      </c>
    </row>
    <row r="78" spans="1:14">
      <c r="A78" s="2" t="s">
        <v>244</v>
      </c>
      <c r="B78" s="2" t="s">
        <v>102</v>
      </c>
      <c r="C78" s="2" t="s">
        <v>26</v>
      </c>
      <c r="D78" s="2" t="s">
        <v>113</v>
      </c>
      <c r="E78" s="2" t="s">
        <v>245</v>
      </c>
      <c r="F78" s="2" t="s">
        <v>142</v>
      </c>
      <c r="G78" s="2" t="s">
        <v>143</v>
      </c>
      <c r="H78" s="2">
        <v>1</v>
      </c>
      <c r="I78" s="3">
        <v>18900000</v>
      </c>
      <c r="J78" s="3">
        <v>189000</v>
      </c>
      <c r="K78" s="3">
        <v>18711000</v>
      </c>
      <c r="L78" s="2" t="s">
        <v>29</v>
      </c>
      <c r="M78" s="2" t="s">
        <v>22</v>
      </c>
      <c r="N78" s="2" t="s">
        <v>23</v>
      </c>
    </row>
    <row r="79" spans="1:14">
      <c r="A79" s="2" t="s">
        <v>246</v>
      </c>
      <c r="B79" s="2" t="s">
        <v>140</v>
      </c>
      <c r="C79" s="2" t="s">
        <v>65</v>
      </c>
      <c r="D79" s="2" t="s">
        <v>49</v>
      </c>
      <c r="E79" s="2" t="s">
        <v>35</v>
      </c>
      <c r="F79" s="2" t="s">
        <v>19</v>
      </c>
      <c r="G79" s="2" t="s">
        <v>20</v>
      </c>
      <c r="H79" s="2">
        <v>1</v>
      </c>
      <c r="I79" s="3">
        <v>33500000</v>
      </c>
      <c r="J79" s="3">
        <v>1005000</v>
      </c>
      <c r="K79" s="3">
        <v>32495000</v>
      </c>
      <c r="L79" s="2" t="s">
        <v>38</v>
      </c>
      <c r="M79" s="2" t="s">
        <v>22</v>
      </c>
      <c r="N79" s="2" t="s">
        <v>39</v>
      </c>
    </row>
    <row r="80" spans="1:14">
      <c r="A80" s="2" t="s">
        <v>247</v>
      </c>
      <c r="B80" s="2" t="s">
        <v>122</v>
      </c>
      <c r="C80" s="2" t="s">
        <v>33</v>
      </c>
      <c r="D80" s="2" t="s">
        <v>94</v>
      </c>
      <c r="E80" s="2" t="s">
        <v>194</v>
      </c>
      <c r="F80" s="2" t="s">
        <v>60</v>
      </c>
      <c r="G80" s="2" t="s">
        <v>61</v>
      </c>
      <c r="H80" s="2">
        <v>1</v>
      </c>
      <c r="I80" s="3">
        <v>21500000</v>
      </c>
      <c r="J80" s="3">
        <v>1075000</v>
      </c>
      <c r="K80" s="3">
        <v>20425000</v>
      </c>
      <c r="L80" s="2" t="s">
        <v>29</v>
      </c>
      <c r="M80" s="2" t="s">
        <v>87</v>
      </c>
      <c r="N80" s="2" t="s">
        <v>39</v>
      </c>
    </row>
    <row r="81" spans="1:14">
      <c r="A81" s="2" t="s">
        <v>248</v>
      </c>
      <c r="B81" s="2" t="s">
        <v>79</v>
      </c>
      <c r="C81" s="2" t="s">
        <v>71</v>
      </c>
      <c r="D81" s="2" t="s">
        <v>17</v>
      </c>
      <c r="E81" s="2" t="s">
        <v>249</v>
      </c>
      <c r="F81" s="2" t="s">
        <v>44</v>
      </c>
      <c r="G81" s="2" t="s">
        <v>45</v>
      </c>
      <c r="H81" s="2">
        <v>1</v>
      </c>
      <c r="I81" s="3">
        <v>24600000</v>
      </c>
      <c r="J81" s="3">
        <v>738000</v>
      </c>
      <c r="K81" s="3">
        <v>23862000</v>
      </c>
      <c r="L81" s="2" t="s">
        <v>62</v>
      </c>
      <c r="M81" s="2" t="s">
        <v>22</v>
      </c>
      <c r="N81" s="2" t="s">
        <v>30</v>
      </c>
    </row>
    <row r="82" spans="1:14">
      <c r="A82" s="2" t="s">
        <v>250</v>
      </c>
      <c r="B82" s="2" t="s">
        <v>84</v>
      </c>
      <c r="C82" s="2" t="s">
        <v>48</v>
      </c>
      <c r="D82" s="2" t="s">
        <v>66</v>
      </c>
      <c r="E82" s="2" t="s">
        <v>251</v>
      </c>
      <c r="F82" s="2" t="s">
        <v>142</v>
      </c>
      <c r="G82" s="2" t="s">
        <v>143</v>
      </c>
      <c r="H82" s="2">
        <v>1</v>
      </c>
      <c r="I82" s="3">
        <v>18900000</v>
      </c>
      <c r="J82" s="3">
        <v>0</v>
      </c>
      <c r="K82" s="3">
        <v>18900000</v>
      </c>
      <c r="L82" s="2" t="s">
        <v>46</v>
      </c>
      <c r="M82" s="2" t="s">
        <v>22</v>
      </c>
      <c r="N82" s="2" t="s">
        <v>30</v>
      </c>
    </row>
    <row r="83" spans="1:14">
      <c r="A83" s="2" t="s">
        <v>252</v>
      </c>
      <c r="B83" s="2" t="s">
        <v>215</v>
      </c>
      <c r="C83" s="2" t="s">
        <v>97</v>
      </c>
      <c r="D83" s="2" t="s">
        <v>49</v>
      </c>
      <c r="E83" s="2" t="s">
        <v>253</v>
      </c>
      <c r="F83" s="2" t="s">
        <v>44</v>
      </c>
      <c r="G83" s="2" t="s">
        <v>45</v>
      </c>
      <c r="H83" s="2">
        <v>1</v>
      </c>
      <c r="I83" s="3">
        <v>24600000</v>
      </c>
      <c r="J83" s="3">
        <v>0</v>
      </c>
      <c r="K83" s="3">
        <v>24600000</v>
      </c>
      <c r="L83" s="2" t="s">
        <v>29</v>
      </c>
      <c r="M83" s="2" t="s">
        <v>82</v>
      </c>
      <c r="N83" s="2" t="s">
        <v>77</v>
      </c>
    </row>
    <row r="84" spans="1:14">
      <c r="A84" s="2" t="s">
        <v>254</v>
      </c>
      <c r="B84" s="2" t="s">
        <v>162</v>
      </c>
      <c r="C84" s="2" t="s">
        <v>65</v>
      </c>
      <c r="D84" s="2" t="s">
        <v>72</v>
      </c>
      <c r="E84" s="2" t="s">
        <v>234</v>
      </c>
      <c r="F84" s="2" t="s">
        <v>19</v>
      </c>
      <c r="G84" s="2" t="s">
        <v>20</v>
      </c>
      <c r="H84" s="2">
        <v>1</v>
      </c>
      <c r="I84" s="3">
        <v>33500000</v>
      </c>
      <c r="J84" s="3">
        <v>1675000</v>
      </c>
      <c r="K84" s="3">
        <v>31825000</v>
      </c>
      <c r="L84" s="2" t="s">
        <v>21</v>
      </c>
      <c r="M84" s="2" t="s">
        <v>22</v>
      </c>
      <c r="N84" s="2" t="s">
        <v>30</v>
      </c>
    </row>
    <row r="85" spans="1:14">
      <c r="A85" s="2" t="s">
        <v>255</v>
      </c>
      <c r="B85" s="2" t="s">
        <v>41</v>
      </c>
      <c r="C85" s="2" t="s">
        <v>65</v>
      </c>
      <c r="D85" s="2" t="s">
        <v>126</v>
      </c>
      <c r="E85" s="2" t="s">
        <v>187</v>
      </c>
      <c r="F85" s="2" t="s">
        <v>51</v>
      </c>
      <c r="G85" s="2" t="s">
        <v>52</v>
      </c>
      <c r="H85" s="2">
        <v>1</v>
      </c>
      <c r="I85" s="3">
        <v>41000000</v>
      </c>
      <c r="J85" s="3">
        <v>0</v>
      </c>
      <c r="K85" s="3">
        <v>41000000</v>
      </c>
      <c r="L85" s="2" t="s">
        <v>29</v>
      </c>
      <c r="M85" s="2" t="s">
        <v>22</v>
      </c>
      <c r="N85" s="2" t="s">
        <v>77</v>
      </c>
    </row>
    <row r="86" spans="1:14">
      <c r="A86" s="2" t="s">
        <v>256</v>
      </c>
      <c r="B86" s="2" t="s">
        <v>57</v>
      </c>
      <c r="C86" s="2" t="s">
        <v>155</v>
      </c>
      <c r="D86" s="2" t="s">
        <v>168</v>
      </c>
      <c r="E86" s="2" t="s">
        <v>95</v>
      </c>
      <c r="F86" s="2" t="s">
        <v>99</v>
      </c>
      <c r="G86" s="2" t="s">
        <v>100</v>
      </c>
      <c r="H86" s="2">
        <v>1</v>
      </c>
      <c r="I86" s="3">
        <v>29800000</v>
      </c>
      <c r="J86" s="3">
        <v>0</v>
      </c>
      <c r="K86" s="3">
        <v>29800000</v>
      </c>
      <c r="L86" s="2" t="s">
        <v>46</v>
      </c>
      <c r="M86" s="2" t="s">
        <v>22</v>
      </c>
      <c r="N86" s="2" t="s">
        <v>77</v>
      </c>
    </row>
    <row r="87" spans="1:14">
      <c r="A87" s="2" t="s">
        <v>257</v>
      </c>
      <c r="B87" s="2" t="s">
        <v>15</v>
      </c>
      <c r="C87" s="2" t="s">
        <v>65</v>
      </c>
      <c r="D87" s="2" t="s">
        <v>98</v>
      </c>
      <c r="E87" s="2" t="s">
        <v>86</v>
      </c>
      <c r="F87" s="2" t="s">
        <v>99</v>
      </c>
      <c r="G87" s="2" t="s">
        <v>100</v>
      </c>
      <c r="H87" s="2">
        <v>2</v>
      </c>
      <c r="I87" s="3">
        <v>29800000</v>
      </c>
      <c r="J87" s="3">
        <v>596000</v>
      </c>
      <c r="K87" s="3">
        <v>59004000</v>
      </c>
      <c r="L87" s="2" t="s">
        <v>46</v>
      </c>
      <c r="M87" s="2" t="s">
        <v>22</v>
      </c>
      <c r="N87" s="2" t="s">
        <v>30</v>
      </c>
    </row>
    <row r="88" spans="1:14">
      <c r="A88" s="2" t="s">
        <v>258</v>
      </c>
      <c r="B88" s="2" t="s">
        <v>105</v>
      </c>
      <c r="C88" s="2" t="s">
        <v>33</v>
      </c>
      <c r="D88" s="2"/>
      <c r="E88" s="2" t="s">
        <v>259</v>
      </c>
      <c r="F88" s="2" t="s">
        <v>36</v>
      </c>
      <c r="G88" s="2" t="s">
        <v>37</v>
      </c>
      <c r="H88" s="2">
        <v>1</v>
      </c>
      <c r="I88" s="3">
        <v>22300000</v>
      </c>
      <c r="J88" s="3">
        <v>0</v>
      </c>
      <c r="K88" s="3">
        <v>22300000</v>
      </c>
      <c r="L88" s="2" t="s">
        <v>38</v>
      </c>
      <c r="M88" s="2" t="s">
        <v>22</v>
      </c>
      <c r="N88" s="2" t="s">
        <v>77</v>
      </c>
    </row>
    <row r="89" spans="1:14">
      <c r="A89" s="2" t="s">
        <v>260</v>
      </c>
      <c r="B89" s="2" t="s">
        <v>108</v>
      </c>
      <c r="C89" s="2" t="s">
        <v>48</v>
      </c>
      <c r="D89" s="2" t="s">
        <v>72</v>
      </c>
      <c r="E89" s="2" t="s">
        <v>192</v>
      </c>
      <c r="F89" s="2" t="s">
        <v>19</v>
      </c>
      <c r="G89" s="2" t="s">
        <v>20</v>
      </c>
      <c r="H89" s="2">
        <v>1</v>
      </c>
      <c r="I89" s="3">
        <v>33500000</v>
      </c>
      <c r="J89" s="3">
        <v>335000</v>
      </c>
      <c r="K89" s="3">
        <v>0</v>
      </c>
      <c r="L89" s="2" t="s">
        <v>29</v>
      </c>
      <c r="M89" s="2" t="s">
        <v>87</v>
      </c>
      <c r="N89" s="2" t="s">
        <v>77</v>
      </c>
    </row>
    <row r="90" spans="1:14">
      <c r="A90" s="2" t="s">
        <v>261</v>
      </c>
      <c r="B90" s="2" t="s">
        <v>64</v>
      </c>
      <c r="C90" s="2" t="s">
        <v>112</v>
      </c>
      <c r="D90" s="2" t="s">
        <v>17</v>
      </c>
      <c r="E90" s="2" t="s">
        <v>59</v>
      </c>
      <c r="F90" s="2" t="s">
        <v>91</v>
      </c>
      <c r="G90" s="2" t="s">
        <v>92</v>
      </c>
      <c r="H90" s="2">
        <v>1</v>
      </c>
      <c r="I90" s="3">
        <v>26900000</v>
      </c>
      <c r="J90" s="3">
        <v>269000</v>
      </c>
      <c r="K90" s="3">
        <v>26631000</v>
      </c>
      <c r="L90" s="2" t="s">
        <v>29</v>
      </c>
      <c r="M90" s="2" t="s">
        <v>22</v>
      </c>
      <c r="N90" s="2" t="s">
        <v>77</v>
      </c>
    </row>
    <row r="91" spans="1:14">
      <c r="A91" s="2" t="s">
        <v>262</v>
      </c>
      <c r="B91" s="2" t="s">
        <v>108</v>
      </c>
      <c r="C91" s="2" t="s">
        <v>65</v>
      </c>
      <c r="D91" s="2" t="s">
        <v>126</v>
      </c>
      <c r="E91" s="2" t="s">
        <v>263</v>
      </c>
      <c r="F91" s="2" t="s">
        <v>51</v>
      </c>
      <c r="G91" s="2" t="s">
        <v>52</v>
      </c>
      <c r="H91" s="2">
        <v>1</v>
      </c>
      <c r="I91" s="3">
        <v>41000000</v>
      </c>
      <c r="J91" s="3">
        <v>1230000</v>
      </c>
      <c r="K91" s="3">
        <v>39770000</v>
      </c>
      <c r="L91" s="2" t="s">
        <v>21</v>
      </c>
      <c r="M91" s="2" t="s">
        <v>22</v>
      </c>
      <c r="N91" s="2" t="s">
        <v>30</v>
      </c>
    </row>
    <row r="92" spans="1:14">
      <c r="A92" s="2" t="s">
        <v>264</v>
      </c>
      <c r="B92" s="2" t="s">
        <v>105</v>
      </c>
      <c r="C92" s="2" t="s">
        <v>155</v>
      </c>
      <c r="D92" s="2" t="s">
        <v>17</v>
      </c>
      <c r="E92" s="2" t="s">
        <v>265</v>
      </c>
      <c r="F92" s="2" t="s">
        <v>99</v>
      </c>
      <c r="G92" s="2" t="s">
        <v>100</v>
      </c>
      <c r="H92" s="2">
        <v>1</v>
      </c>
      <c r="I92" s="3">
        <v>29800000</v>
      </c>
      <c r="J92" s="3">
        <v>1490000</v>
      </c>
      <c r="K92" s="3">
        <v>28310000</v>
      </c>
      <c r="L92" s="2" t="s">
        <v>29</v>
      </c>
      <c r="M92" s="2" t="s">
        <v>22</v>
      </c>
      <c r="N92" s="2" t="s">
        <v>30</v>
      </c>
    </row>
    <row r="93" spans="1:14">
      <c r="A93" s="2" t="s">
        <v>266</v>
      </c>
      <c r="B93" s="2" t="s">
        <v>135</v>
      </c>
      <c r="C93" s="2" t="s">
        <v>65</v>
      </c>
      <c r="D93" s="2" t="s">
        <v>27</v>
      </c>
      <c r="E93" s="2" t="s">
        <v>267</v>
      </c>
      <c r="F93" s="2" t="s">
        <v>99</v>
      </c>
      <c r="G93" s="2" t="s">
        <v>100</v>
      </c>
      <c r="H93" s="2">
        <v>1</v>
      </c>
      <c r="I93" s="3">
        <v>29800000</v>
      </c>
      <c r="J93" s="3">
        <v>894000</v>
      </c>
      <c r="K93" s="3">
        <v>28906000</v>
      </c>
      <c r="L93" s="2" t="s">
        <v>46</v>
      </c>
      <c r="M93" s="2" t="s">
        <v>22</v>
      </c>
      <c r="N93" s="2" t="s">
        <v>23</v>
      </c>
    </row>
    <row r="94" spans="1:14">
      <c r="A94" s="2" t="s">
        <v>268</v>
      </c>
      <c r="B94" s="2" t="s">
        <v>41</v>
      </c>
      <c r="C94" s="2" t="s">
        <v>26</v>
      </c>
      <c r="D94" s="2" t="s">
        <v>113</v>
      </c>
      <c r="E94" s="2" t="s">
        <v>269</v>
      </c>
      <c r="F94" s="2" t="s">
        <v>142</v>
      </c>
      <c r="G94" s="2" t="s">
        <v>143</v>
      </c>
      <c r="H94" s="2">
        <v>1</v>
      </c>
      <c r="I94" s="3">
        <v>18900000</v>
      </c>
      <c r="J94" s="3">
        <v>0</v>
      </c>
      <c r="K94" s="3">
        <v>18900000</v>
      </c>
      <c r="L94" s="2" t="s">
        <v>38</v>
      </c>
      <c r="M94" s="2" t="s">
        <v>22</v>
      </c>
      <c r="N94" s="2" t="s">
        <v>30</v>
      </c>
    </row>
    <row r="95" spans="1:14">
      <c r="A95" s="2" t="s">
        <v>270</v>
      </c>
      <c r="B95" s="2" t="s">
        <v>15</v>
      </c>
      <c r="C95" s="2" t="s">
        <v>148</v>
      </c>
      <c r="D95" s="2" t="s">
        <v>80</v>
      </c>
      <c r="E95" s="2" t="s">
        <v>271</v>
      </c>
      <c r="F95" s="2" t="s">
        <v>152</v>
      </c>
      <c r="G95" s="2" t="s">
        <v>153</v>
      </c>
      <c r="H95" s="2">
        <v>1</v>
      </c>
      <c r="I95" s="3">
        <v>27400000</v>
      </c>
      <c r="J95" s="3">
        <v>0</v>
      </c>
      <c r="K95" s="3">
        <v>27400000</v>
      </c>
      <c r="L95" s="2" t="s">
        <v>21</v>
      </c>
      <c r="M95" s="2" t="s">
        <v>87</v>
      </c>
      <c r="N95" s="2" t="s">
        <v>30</v>
      </c>
    </row>
    <row r="96" spans="1:14">
      <c r="A96" s="2" t="s">
        <v>272</v>
      </c>
      <c r="B96" s="2" t="s">
        <v>140</v>
      </c>
      <c r="C96" s="2" t="s">
        <v>48</v>
      </c>
      <c r="D96" s="2" t="s">
        <v>242</v>
      </c>
      <c r="E96" s="2" t="s">
        <v>273</v>
      </c>
      <c r="F96" s="2" t="s">
        <v>36</v>
      </c>
      <c r="G96" s="2" t="s">
        <v>37</v>
      </c>
      <c r="H96" s="2">
        <v>1</v>
      </c>
      <c r="I96" s="3">
        <v>22300000</v>
      </c>
      <c r="J96" s="3">
        <v>446000</v>
      </c>
      <c r="K96" s="3">
        <v>21854000</v>
      </c>
      <c r="L96" s="2" t="s">
        <v>46</v>
      </c>
      <c r="M96" s="2" t="s">
        <v>22</v>
      </c>
      <c r="N96" s="2" t="s">
        <v>39</v>
      </c>
    </row>
    <row r="97" spans="1:14">
      <c r="A97" s="2" t="s">
        <v>274</v>
      </c>
      <c r="B97" s="2" t="s">
        <v>125</v>
      </c>
      <c r="C97" s="2" t="s">
        <v>65</v>
      </c>
      <c r="D97" s="2" t="s">
        <v>94</v>
      </c>
      <c r="E97" s="2" t="s">
        <v>275</v>
      </c>
      <c r="F97" s="2" t="s">
        <v>99</v>
      </c>
      <c r="G97" s="2" t="s">
        <v>100</v>
      </c>
      <c r="H97" s="2">
        <v>1</v>
      </c>
      <c r="I97" s="3">
        <v>29800000</v>
      </c>
      <c r="J97" s="3">
        <v>894000</v>
      </c>
      <c r="K97" s="3">
        <v>28906000</v>
      </c>
      <c r="L97" s="2" t="s">
        <v>29</v>
      </c>
      <c r="M97" s="2" t="s">
        <v>87</v>
      </c>
      <c r="N97" s="2" t="s">
        <v>39</v>
      </c>
    </row>
    <row r="98" spans="1:14">
      <c r="A98" s="2" t="s">
        <v>276</v>
      </c>
      <c r="B98" s="2" t="s">
        <v>135</v>
      </c>
      <c r="C98" s="2" t="s">
        <v>26</v>
      </c>
      <c r="D98" s="2" t="s">
        <v>113</v>
      </c>
      <c r="E98" s="2" t="s">
        <v>197</v>
      </c>
      <c r="F98" s="2" t="s">
        <v>142</v>
      </c>
      <c r="G98" s="2" t="s">
        <v>143</v>
      </c>
      <c r="H98" s="2">
        <v>1</v>
      </c>
      <c r="I98" s="3">
        <v>18900000</v>
      </c>
      <c r="J98" s="3">
        <v>567000</v>
      </c>
      <c r="K98" s="3">
        <v>18333000</v>
      </c>
      <c r="L98" s="2" t="s">
        <v>38</v>
      </c>
      <c r="M98" s="2" t="s">
        <v>87</v>
      </c>
      <c r="N98" s="2" t="s">
        <v>30</v>
      </c>
    </row>
    <row r="99" spans="1:14">
      <c r="A99" s="2" t="s">
        <v>277</v>
      </c>
      <c r="B99" s="2" t="s">
        <v>111</v>
      </c>
      <c r="C99" s="2" t="s">
        <v>112</v>
      </c>
      <c r="D99" s="2" t="s">
        <v>242</v>
      </c>
      <c r="E99" s="2" t="s">
        <v>278</v>
      </c>
      <c r="F99" s="2" t="s">
        <v>99</v>
      </c>
      <c r="G99" s="2" t="s">
        <v>100</v>
      </c>
      <c r="H99" s="2">
        <v>1</v>
      </c>
      <c r="I99" s="3">
        <v>29800000</v>
      </c>
      <c r="J99" s="3">
        <v>596000</v>
      </c>
      <c r="K99" s="3">
        <v>29204000</v>
      </c>
      <c r="L99" s="2" t="s">
        <v>29</v>
      </c>
      <c r="M99" s="2" t="s">
        <v>22</v>
      </c>
      <c r="N99" s="2" t="s">
        <v>39</v>
      </c>
    </row>
    <row r="100" spans="1:14">
      <c r="A100" s="2" t="s">
        <v>279</v>
      </c>
      <c r="B100" s="2" t="s">
        <v>125</v>
      </c>
      <c r="C100" s="2" t="s">
        <v>48</v>
      </c>
      <c r="D100" s="2" t="s">
        <v>113</v>
      </c>
      <c r="E100" s="2" t="s">
        <v>280</v>
      </c>
      <c r="F100" s="2" t="s">
        <v>99</v>
      </c>
      <c r="G100" s="2" t="s">
        <v>100</v>
      </c>
      <c r="H100" s="2">
        <v>1</v>
      </c>
      <c r="I100" s="3">
        <v>29800000</v>
      </c>
      <c r="J100" s="3">
        <v>1490000</v>
      </c>
      <c r="K100" s="3">
        <v>28310000</v>
      </c>
      <c r="L100" s="2" t="s">
        <v>46</v>
      </c>
      <c r="M100" s="2" t="s">
        <v>22</v>
      </c>
      <c r="N100" s="2" t="s">
        <v>39</v>
      </c>
    </row>
    <row r="101" spans="1:14">
      <c r="A101" s="2" t="s">
        <v>281</v>
      </c>
      <c r="B101" s="2" t="s">
        <v>84</v>
      </c>
      <c r="C101" s="2" t="s">
        <v>148</v>
      </c>
      <c r="D101" s="2" t="s">
        <v>72</v>
      </c>
      <c r="E101" s="2" t="s">
        <v>86</v>
      </c>
      <c r="F101" s="2" t="s">
        <v>99</v>
      </c>
      <c r="G101" s="2" t="s">
        <v>100</v>
      </c>
      <c r="H101" s="2">
        <v>1</v>
      </c>
      <c r="I101" s="3">
        <v>29800000</v>
      </c>
      <c r="J101" s="3">
        <v>1490000</v>
      </c>
      <c r="K101" s="3">
        <v>28310000</v>
      </c>
      <c r="L101" s="2" t="s">
        <v>29</v>
      </c>
      <c r="M101" s="2" t="s">
        <v>22</v>
      </c>
      <c r="N101" s="2" t="s">
        <v>39</v>
      </c>
    </row>
    <row r="102" spans="1:14">
      <c r="A102" s="2" t="s">
        <v>282</v>
      </c>
      <c r="B102" s="2" t="s">
        <v>15</v>
      </c>
      <c r="C102" s="2" t="s">
        <v>71</v>
      </c>
      <c r="D102" s="2" t="s">
        <v>34</v>
      </c>
      <c r="E102" s="2" t="s">
        <v>283</v>
      </c>
      <c r="F102" s="2" t="s">
        <v>152</v>
      </c>
      <c r="G102" s="2" t="s">
        <v>153</v>
      </c>
      <c r="H102" s="2">
        <v>1</v>
      </c>
      <c r="I102" s="3">
        <v>27400000</v>
      </c>
      <c r="J102" s="3">
        <v>0</v>
      </c>
      <c r="K102" s="3">
        <v>27400000</v>
      </c>
      <c r="L102" s="2" t="s">
        <v>46</v>
      </c>
      <c r="M102" s="2" t="s">
        <v>22</v>
      </c>
      <c r="N102" s="2" t="s">
        <v>39</v>
      </c>
    </row>
    <row r="103" spans="1:14">
      <c r="A103" s="2" t="s">
        <v>284</v>
      </c>
      <c r="B103" s="2" t="s">
        <v>84</v>
      </c>
      <c r="C103" s="2" t="s">
        <v>285</v>
      </c>
      <c r="D103" s="2" t="s">
        <v>27</v>
      </c>
      <c r="E103" s="2" t="s">
        <v>286</v>
      </c>
      <c r="F103" s="2" t="s">
        <v>142</v>
      </c>
      <c r="G103" s="2" t="s">
        <v>143</v>
      </c>
      <c r="H103" s="2">
        <v>1</v>
      </c>
      <c r="I103" s="3">
        <v>18900000</v>
      </c>
      <c r="J103" s="3">
        <v>567000</v>
      </c>
      <c r="K103" s="3">
        <v>18333000</v>
      </c>
      <c r="L103" s="2" t="s">
        <v>46</v>
      </c>
      <c r="M103" s="2" t="s">
        <v>22</v>
      </c>
      <c r="N103" s="2" t="s">
        <v>23</v>
      </c>
    </row>
    <row r="104" spans="1:14">
      <c r="A104" s="2" t="s">
        <v>287</v>
      </c>
      <c r="B104" s="2" t="s">
        <v>167</v>
      </c>
      <c r="C104" s="2" t="s">
        <v>85</v>
      </c>
      <c r="D104" s="2"/>
      <c r="E104" s="2" t="s">
        <v>18</v>
      </c>
      <c r="F104" s="2" t="s">
        <v>36</v>
      </c>
      <c r="G104" s="2" t="s">
        <v>37</v>
      </c>
      <c r="H104" s="2">
        <v>1</v>
      </c>
      <c r="I104" s="3">
        <v>22300000</v>
      </c>
      <c r="J104" s="3">
        <v>446000</v>
      </c>
      <c r="K104" s="3">
        <v>21854000</v>
      </c>
      <c r="L104" s="2" t="s">
        <v>62</v>
      </c>
      <c r="M104" s="2" t="s">
        <v>22</v>
      </c>
      <c r="N104" s="2" t="s">
        <v>30</v>
      </c>
    </row>
    <row r="105" spans="1:14">
      <c r="A105" s="2" t="s">
        <v>288</v>
      </c>
      <c r="B105" s="2" t="s">
        <v>162</v>
      </c>
      <c r="C105" s="2" t="s">
        <v>26</v>
      </c>
      <c r="D105" s="2" t="s">
        <v>72</v>
      </c>
      <c r="E105" s="2" t="s">
        <v>289</v>
      </c>
      <c r="F105" s="2" t="s">
        <v>19</v>
      </c>
      <c r="G105" s="2" t="s">
        <v>20</v>
      </c>
      <c r="H105" s="2">
        <v>1</v>
      </c>
      <c r="I105" s="3">
        <v>33500000</v>
      </c>
      <c r="J105" s="3">
        <v>335000</v>
      </c>
      <c r="K105" s="3">
        <v>33165000</v>
      </c>
      <c r="L105" s="2" t="s">
        <v>38</v>
      </c>
      <c r="M105" s="2" t="s">
        <v>22</v>
      </c>
      <c r="N105" s="2" t="s">
        <v>77</v>
      </c>
    </row>
    <row r="106" spans="1:14">
      <c r="A106" s="2" t="s">
        <v>290</v>
      </c>
      <c r="B106" s="2" t="s">
        <v>108</v>
      </c>
      <c r="C106" s="2" t="s">
        <v>65</v>
      </c>
      <c r="D106" s="2" t="s">
        <v>113</v>
      </c>
      <c r="E106" s="2" t="s">
        <v>291</v>
      </c>
      <c r="F106" s="2" t="s">
        <v>60</v>
      </c>
      <c r="G106" s="2" t="s">
        <v>61</v>
      </c>
      <c r="H106" s="2">
        <v>1</v>
      </c>
      <c r="I106" s="3">
        <v>21500000</v>
      </c>
      <c r="J106" s="3">
        <v>430000</v>
      </c>
      <c r="K106" s="3">
        <v>21070000</v>
      </c>
      <c r="L106" s="2" t="s">
        <v>62</v>
      </c>
      <c r="M106" s="2" t="s">
        <v>82</v>
      </c>
      <c r="N106" s="2" t="s">
        <v>39</v>
      </c>
    </row>
    <row r="107" spans="1:14">
      <c r="A107" s="2" t="s">
        <v>292</v>
      </c>
      <c r="B107" s="2" t="s">
        <v>25</v>
      </c>
      <c r="C107" s="2" t="s">
        <v>148</v>
      </c>
      <c r="D107" s="2" t="s">
        <v>130</v>
      </c>
      <c r="E107" s="2" t="s">
        <v>293</v>
      </c>
      <c r="F107" s="2" t="s">
        <v>91</v>
      </c>
      <c r="G107" s="2" t="s">
        <v>92</v>
      </c>
      <c r="H107" s="2">
        <v>1</v>
      </c>
      <c r="I107" s="3">
        <v>26900000</v>
      </c>
      <c r="J107" s="3">
        <v>1345000</v>
      </c>
      <c r="K107" s="3">
        <v>25555000</v>
      </c>
      <c r="L107" s="2" t="s">
        <v>62</v>
      </c>
      <c r="M107" s="2" t="s">
        <v>22</v>
      </c>
      <c r="N107" s="2" t="s">
        <v>39</v>
      </c>
    </row>
    <row r="108" spans="1:14">
      <c r="A108" s="2" t="s">
        <v>294</v>
      </c>
      <c r="B108" s="2" t="s">
        <v>111</v>
      </c>
      <c r="C108" s="2" t="s">
        <v>71</v>
      </c>
      <c r="D108" s="2" t="s">
        <v>113</v>
      </c>
      <c r="E108" s="2" t="s">
        <v>251</v>
      </c>
      <c r="F108" s="2" t="s">
        <v>19</v>
      </c>
      <c r="G108" s="2" t="s">
        <v>20</v>
      </c>
      <c r="H108" s="2">
        <v>1</v>
      </c>
      <c r="I108" s="3">
        <v>33500000</v>
      </c>
      <c r="J108" s="3">
        <v>0</v>
      </c>
      <c r="K108" s="3">
        <v>33500000</v>
      </c>
      <c r="L108" s="2" t="s">
        <v>38</v>
      </c>
      <c r="M108" s="2" t="s">
        <v>22</v>
      </c>
      <c r="N108" s="2" t="s">
        <v>23</v>
      </c>
    </row>
    <row r="109" spans="1:14">
      <c r="A109" s="2" t="s">
        <v>295</v>
      </c>
      <c r="B109" s="2" t="s">
        <v>84</v>
      </c>
      <c r="C109" s="2" t="s">
        <v>65</v>
      </c>
      <c r="D109" s="2"/>
      <c r="E109" s="2" t="s">
        <v>296</v>
      </c>
      <c r="F109" s="2" t="s">
        <v>60</v>
      </c>
      <c r="G109" s="2" t="s">
        <v>61</v>
      </c>
      <c r="H109" s="2">
        <v>1</v>
      </c>
      <c r="I109" s="3">
        <v>21500000</v>
      </c>
      <c r="J109" s="3">
        <v>1075000</v>
      </c>
      <c r="K109" s="3">
        <v>20425000</v>
      </c>
      <c r="L109" s="2" t="s">
        <v>29</v>
      </c>
      <c r="M109" s="2" t="s">
        <v>22</v>
      </c>
      <c r="N109" s="2" t="s">
        <v>39</v>
      </c>
    </row>
    <row r="110" spans="1:14">
      <c r="A110" s="2" t="s">
        <v>297</v>
      </c>
      <c r="B110" s="2" t="s">
        <v>15</v>
      </c>
      <c r="C110" s="2" t="s">
        <v>85</v>
      </c>
      <c r="D110" s="2" t="s">
        <v>168</v>
      </c>
      <c r="E110" s="2" t="s">
        <v>298</v>
      </c>
      <c r="F110" s="2" t="s">
        <v>44</v>
      </c>
      <c r="G110" s="2" t="s">
        <v>45</v>
      </c>
      <c r="H110" s="2">
        <v>1</v>
      </c>
      <c r="I110" s="3">
        <v>24600000</v>
      </c>
      <c r="J110" s="3">
        <v>246000</v>
      </c>
      <c r="K110" s="3">
        <v>24354000</v>
      </c>
      <c r="L110" s="2" t="s">
        <v>29</v>
      </c>
      <c r="M110" s="2" t="s">
        <v>22</v>
      </c>
      <c r="N110" s="2" t="s">
        <v>39</v>
      </c>
    </row>
    <row r="111" spans="1:14">
      <c r="A111" s="2" t="s">
        <v>299</v>
      </c>
      <c r="B111" s="2" t="s">
        <v>140</v>
      </c>
      <c r="C111" s="2" t="s">
        <v>16</v>
      </c>
      <c r="D111" s="2" t="s">
        <v>75</v>
      </c>
      <c r="E111" s="2" t="s">
        <v>165</v>
      </c>
      <c r="F111" s="2" t="s">
        <v>19</v>
      </c>
      <c r="G111" s="2" t="s">
        <v>20</v>
      </c>
      <c r="H111" s="2">
        <v>1</v>
      </c>
      <c r="I111" s="3">
        <v>33500000</v>
      </c>
      <c r="J111" s="3">
        <v>670000</v>
      </c>
      <c r="K111" s="3">
        <v>32830000</v>
      </c>
      <c r="L111" s="2" t="s">
        <v>62</v>
      </c>
      <c r="M111" s="2" t="s">
        <v>22</v>
      </c>
      <c r="N111" s="2" t="s">
        <v>77</v>
      </c>
    </row>
    <row r="112" spans="1:14">
      <c r="A112" s="2" t="s">
        <v>300</v>
      </c>
      <c r="B112" s="2" t="s">
        <v>125</v>
      </c>
      <c r="C112" s="2" t="s">
        <v>16</v>
      </c>
      <c r="D112" s="2" t="s">
        <v>66</v>
      </c>
      <c r="E112" s="2" t="s">
        <v>301</v>
      </c>
      <c r="F112" s="2" t="s">
        <v>51</v>
      </c>
      <c r="G112" s="2" t="s">
        <v>52</v>
      </c>
      <c r="H112" s="2">
        <v>1</v>
      </c>
      <c r="I112" s="3">
        <v>41000000</v>
      </c>
      <c r="J112" s="3">
        <v>410000</v>
      </c>
      <c r="K112" s="3">
        <v>40590000</v>
      </c>
      <c r="L112" s="2" t="s">
        <v>29</v>
      </c>
      <c r="M112" s="2" t="s">
        <v>22</v>
      </c>
      <c r="N112" s="2" t="s">
        <v>23</v>
      </c>
    </row>
    <row r="113" spans="1:14">
      <c r="A113" s="2" t="s">
        <v>302</v>
      </c>
      <c r="B113" s="2" t="s">
        <v>140</v>
      </c>
      <c r="C113" s="2" t="s">
        <v>48</v>
      </c>
      <c r="D113" s="2" t="s">
        <v>34</v>
      </c>
      <c r="E113" s="2" t="s">
        <v>86</v>
      </c>
      <c r="F113" s="2" t="s">
        <v>152</v>
      </c>
      <c r="G113" s="2" t="s">
        <v>153</v>
      </c>
      <c r="H113" s="2">
        <v>1</v>
      </c>
      <c r="I113" s="3">
        <v>27400000</v>
      </c>
      <c r="J113" s="3">
        <v>822000</v>
      </c>
      <c r="K113" s="3">
        <v>0</v>
      </c>
      <c r="L113" s="2" t="s">
        <v>46</v>
      </c>
      <c r="M113" s="2" t="s">
        <v>22</v>
      </c>
      <c r="N113" s="2" t="s">
        <v>23</v>
      </c>
    </row>
    <row r="114" spans="1:14">
      <c r="A114" s="2" t="s">
        <v>303</v>
      </c>
      <c r="B114" s="2" t="s">
        <v>64</v>
      </c>
      <c r="C114" s="2" t="s">
        <v>48</v>
      </c>
      <c r="D114" s="2" t="s">
        <v>72</v>
      </c>
      <c r="E114" s="2" t="s">
        <v>304</v>
      </c>
      <c r="F114" s="2" t="s">
        <v>142</v>
      </c>
      <c r="G114" s="2" t="s">
        <v>143</v>
      </c>
      <c r="H114" s="2">
        <v>1</v>
      </c>
      <c r="I114" s="3">
        <v>18900000</v>
      </c>
      <c r="J114" s="3">
        <v>0</v>
      </c>
      <c r="K114" s="3">
        <v>18900000</v>
      </c>
      <c r="L114" s="2" t="s">
        <v>29</v>
      </c>
      <c r="M114" s="2" t="s">
        <v>22</v>
      </c>
      <c r="N114" s="2" t="s">
        <v>30</v>
      </c>
    </row>
    <row r="115" spans="1:14">
      <c r="A115" s="2" t="s">
        <v>305</v>
      </c>
      <c r="B115" s="2" t="s">
        <v>102</v>
      </c>
      <c r="C115" s="2" t="s">
        <v>112</v>
      </c>
      <c r="D115" s="2" t="s">
        <v>201</v>
      </c>
      <c r="E115" s="2" t="s">
        <v>278</v>
      </c>
      <c r="F115" s="2" t="s">
        <v>44</v>
      </c>
      <c r="G115" s="2" t="s">
        <v>45</v>
      </c>
      <c r="H115" s="2">
        <v>1</v>
      </c>
      <c r="I115" s="3">
        <v>24600000</v>
      </c>
      <c r="J115" s="3">
        <v>246000</v>
      </c>
      <c r="K115" s="3">
        <v>24354000</v>
      </c>
      <c r="L115" s="2" t="s">
        <v>46</v>
      </c>
      <c r="M115" s="2" t="s">
        <v>22</v>
      </c>
      <c r="N115" s="2" t="s">
        <v>77</v>
      </c>
    </row>
    <row r="116" spans="1:14">
      <c r="A116" s="2" t="s">
        <v>306</v>
      </c>
      <c r="B116" s="2" t="s">
        <v>57</v>
      </c>
      <c r="C116" s="2" t="s">
        <v>48</v>
      </c>
      <c r="D116" s="2" t="s">
        <v>242</v>
      </c>
      <c r="E116" s="2" t="s">
        <v>174</v>
      </c>
      <c r="F116" s="2" t="s">
        <v>152</v>
      </c>
      <c r="G116" s="2" t="s">
        <v>153</v>
      </c>
      <c r="H116" s="2">
        <v>1</v>
      </c>
      <c r="I116" s="3">
        <v>27400000</v>
      </c>
      <c r="J116" s="3">
        <v>274000</v>
      </c>
      <c r="K116" s="3">
        <v>27126000</v>
      </c>
      <c r="L116" s="2" t="s">
        <v>46</v>
      </c>
      <c r="M116" s="2" t="s">
        <v>22</v>
      </c>
      <c r="N116" s="2" t="s">
        <v>30</v>
      </c>
    </row>
    <row r="117" spans="1:14">
      <c r="A117" s="2" t="s">
        <v>307</v>
      </c>
      <c r="B117" s="2" t="s">
        <v>15</v>
      </c>
      <c r="C117" s="2" t="s">
        <v>26</v>
      </c>
      <c r="D117" s="2" t="s">
        <v>98</v>
      </c>
      <c r="E117" s="2" t="s">
        <v>225</v>
      </c>
      <c r="F117" s="2" t="s">
        <v>99</v>
      </c>
      <c r="G117" s="2" t="s">
        <v>100</v>
      </c>
      <c r="H117" s="2">
        <v>1</v>
      </c>
      <c r="I117" s="3">
        <v>29800000</v>
      </c>
      <c r="J117" s="3">
        <v>894000</v>
      </c>
      <c r="K117" s="3">
        <v>28906000</v>
      </c>
      <c r="L117" s="2" t="s">
        <v>29</v>
      </c>
      <c r="M117" s="2" t="s">
        <v>22</v>
      </c>
      <c r="N117" s="2" t="s">
        <v>30</v>
      </c>
    </row>
    <row r="118" spans="1:14">
      <c r="A118" s="2" t="s">
        <v>308</v>
      </c>
      <c r="B118" s="2" t="s">
        <v>125</v>
      </c>
      <c r="C118" s="2" t="s">
        <v>97</v>
      </c>
      <c r="D118" s="2" t="s">
        <v>72</v>
      </c>
      <c r="E118" s="2" t="s">
        <v>259</v>
      </c>
      <c r="F118" s="2" t="s">
        <v>91</v>
      </c>
      <c r="G118" s="2" t="s">
        <v>92</v>
      </c>
      <c r="H118" s="2">
        <v>1</v>
      </c>
      <c r="I118" s="3">
        <v>26900000</v>
      </c>
      <c r="J118" s="3">
        <v>0</v>
      </c>
      <c r="K118" s="3">
        <v>26900000</v>
      </c>
      <c r="L118" s="2" t="s">
        <v>21</v>
      </c>
      <c r="M118" s="2" t="s">
        <v>22</v>
      </c>
      <c r="N118" s="2" t="s">
        <v>30</v>
      </c>
    </row>
    <row r="119" spans="1:14">
      <c r="A119" s="2" t="s">
        <v>309</v>
      </c>
      <c r="B119" s="2" t="s">
        <v>79</v>
      </c>
      <c r="C119" s="2" t="s">
        <v>182</v>
      </c>
      <c r="D119" s="2" t="s">
        <v>80</v>
      </c>
      <c r="E119" s="2" t="s">
        <v>310</v>
      </c>
      <c r="F119" s="2" t="s">
        <v>142</v>
      </c>
      <c r="G119" s="2" t="s">
        <v>143</v>
      </c>
      <c r="H119" s="2">
        <v>1</v>
      </c>
      <c r="I119" s="3">
        <v>18900000</v>
      </c>
      <c r="J119" s="3">
        <v>567000</v>
      </c>
      <c r="K119" s="3">
        <v>18333000</v>
      </c>
      <c r="L119" s="2" t="s">
        <v>46</v>
      </c>
      <c r="M119" s="2" t="s">
        <v>22</v>
      </c>
      <c r="N119" s="2" t="s">
        <v>30</v>
      </c>
    </row>
    <row r="120" spans="1:14">
      <c r="A120" s="2" t="s">
        <v>311</v>
      </c>
      <c r="B120" s="2" t="s">
        <v>15</v>
      </c>
      <c r="C120" s="2" t="s">
        <v>89</v>
      </c>
      <c r="D120" s="2" t="s">
        <v>201</v>
      </c>
      <c r="E120" s="2" t="s">
        <v>312</v>
      </c>
      <c r="F120" s="2" t="s">
        <v>19</v>
      </c>
      <c r="G120" s="2" t="s">
        <v>20</v>
      </c>
      <c r="H120" s="2">
        <v>1</v>
      </c>
      <c r="I120" s="3">
        <v>33500000</v>
      </c>
      <c r="J120" s="3">
        <v>335000</v>
      </c>
      <c r="K120" s="3">
        <v>33165000</v>
      </c>
      <c r="L120" s="2" t="s">
        <v>29</v>
      </c>
      <c r="M120" s="2" t="s">
        <v>22</v>
      </c>
      <c r="N120" s="2" t="s">
        <v>77</v>
      </c>
    </row>
    <row r="121" spans="1:14">
      <c r="A121" s="2" t="s">
        <v>313</v>
      </c>
      <c r="B121" s="2" t="s">
        <v>25</v>
      </c>
      <c r="C121" s="2" t="s">
        <v>182</v>
      </c>
      <c r="D121" s="2" t="s">
        <v>66</v>
      </c>
      <c r="E121" s="2" t="s">
        <v>314</v>
      </c>
      <c r="F121" s="2" t="s">
        <v>152</v>
      </c>
      <c r="G121" s="2" t="s">
        <v>153</v>
      </c>
      <c r="H121" s="2">
        <v>1</v>
      </c>
      <c r="I121" s="3">
        <v>27400000</v>
      </c>
      <c r="J121" s="3">
        <v>274000</v>
      </c>
      <c r="K121" s="3">
        <v>27126000</v>
      </c>
      <c r="L121" s="2" t="s">
        <v>21</v>
      </c>
      <c r="M121" s="2" t="s">
        <v>22</v>
      </c>
      <c r="N121" s="2" t="s">
        <v>77</v>
      </c>
    </row>
    <row r="122" spans="1:14">
      <c r="A122" s="2" t="s">
        <v>315</v>
      </c>
      <c r="B122" s="2" t="s">
        <v>125</v>
      </c>
      <c r="C122" s="2" t="s">
        <v>97</v>
      </c>
      <c r="D122" s="2" t="s">
        <v>27</v>
      </c>
      <c r="E122" s="2" t="s">
        <v>280</v>
      </c>
      <c r="F122" s="2" t="s">
        <v>19</v>
      </c>
      <c r="G122" s="2" t="s">
        <v>20</v>
      </c>
      <c r="H122" s="2">
        <v>1</v>
      </c>
      <c r="I122" s="3">
        <v>33500000</v>
      </c>
      <c r="J122" s="3">
        <v>0</v>
      </c>
      <c r="K122" s="3">
        <v>33500000</v>
      </c>
      <c r="L122" s="2" t="s">
        <v>21</v>
      </c>
      <c r="M122" s="2" t="s">
        <v>22</v>
      </c>
      <c r="N122" s="2" t="s">
        <v>30</v>
      </c>
    </row>
    <row r="123" spans="1:14">
      <c r="A123" s="2" t="s">
        <v>316</v>
      </c>
      <c r="B123" s="2" t="s">
        <v>108</v>
      </c>
      <c r="C123" s="2" t="s">
        <v>182</v>
      </c>
      <c r="D123" s="2" t="s">
        <v>34</v>
      </c>
      <c r="E123" s="2" t="s">
        <v>317</v>
      </c>
      <c r="F123" s="2" t="s">
        <v>99</v>
      </c>
      <c r="G123" s="2" t="s">
        <v>100</v>
      </c>
      <c r="H123" s="2">
        <v>1</v>
      </c>
      <c r="I123" s="3">
        <v>29800000</v>
      </c>
      <c r="J123" s="3">
        <v>0</v>
      </c>
      <c r="K123" s="3">
        <v>29800000</v>
      </c>
      <c r="L123" s="2" t="s">
        <v>46</v>
      </c>
      <c r="M123" s="2" t="s">
        <v>87</v>
      </c>
      <c r="N123" s="2" t="s">
        <v>30</v>
      </c>
    </row>
    <row r="124" spans="1:14">
      <c r="A124" s="2" t="s">
        <v>318</v>
      </c>
      <c r="B124" s="2" t="s">
        <v>25</v>
      </c>
      <c r="C124" s="2" t="s">
        <v>148</v>
      </c>
      <c r="D124" s="2" t="s">
        <v>126</v>
      </c>
      <c r="E124" s="2" t="s">
        <v>183</v>
      </c>
      <c r="F124" s="2" t="s">
        <v>19</v>
      </c>
      <c r="G124" s="2" t="s">
        <v>20</v>
      </c>
      <c r="H124" s="2">
        <v>1</v>
      </c>
      <c r="I124" s="3">
        <v>33500000</v>
      </c>
      <c r="J124" s="3">
        <v>1005000</v>
      </c>
      <c r="K124" s="3">
        <v>32495000</v>
      </c>
      <c r="L124" s="2" t="s">
        <v>21</v>
      </c>
      <c r="M124" s="2" t="s">
        <v>22</v>
      </c>
      <c r="N124" s="2" t="s">
        <v>39</v>
      </c>
    </row>
    <row r="125" spans="1:14">
      <c r="A125" s="2" t="s">
        <v>319</v>
      </c>
      <c r="B125" s="2" t="s">
        <v>25</v>
      </c>
      <c r="C125" s="2" t="s">
        <v>97</v>
      </c>
      <c r="D125" s="2" t="s">
        <v>201</v>
      </c>
      <c r="E125" s="2" t="s">
        <v>320</v>
      </c>
      <c r="F125" s="2" t="s">
        <v>99</v>
      </c>
      <c r="G125" s="2" t="s">
        <v>100</v>
      </c>
      <c r="H125" s="2">
        <v>1</v>
      </c>
      <c r="I125" s="3">
        <v>29800000</v>
      </c>
      <c r="J125" s="3">
        <v>894000</v>
      </c>
      <c r="K125" s="3">
        <v>28906000</v>
      </c>
      <c r="L125" s="2" t="s">
        <v>29</v>
      </c>
      <c r="M125" s="2" t="s">
        <v>22</v>
      </c>
      <c r="N125" s="2" t="s">
        <v>39</v>
      </c>
    </row>
    <row r="126" spans="1:14">
      <c r="A126" s="2" t="s">
        <v>321</v>
      </c>
      <c r="B126" s="2" t="s">
        <v>215</v>
      </c>
      <c r="C126" s="2" t="s">
        <v>71</v>
      </c>
      <c r="D126" s="2" t="s">
        <v>54</v>
      </c>
      <c r="E126" s="2" t="s">
        <v>322</v>
      </c>
      <c r="F126" s="2" t="s">
        <v>44</v>
      </c>
      <c r="G126" s="2" t="s">
        <v>45</v>
      </c>
      <c r="H126" s="2">
        <v>1</v>
      </c>
      <c r="I126" s="3">
        <v>24600000</v>
      </c>
      <c r="J126" s="3">
        <v>492000</v>
      </c>
      <c r="K126" s="3">
        <v>24108000</v>
      </c>
      <c r="L126" s="2" t="s">
        <v>46</v>
      </c>
      <c r="M126" s="2" t="s">
        <v>22</v>
      </c>
      <c r="N126" s="2" t="s">
        <v>39</v>
      </c>
    </row>
    <row r="127" spans="1:14">
      <c r="A127" s="2" t="s">
        <v>323</v>
      </c>
      <c r="B127" s="2" t="s">
        <v>57</v>
      </c>
      <c r="C127" s="2" t="s">
        <v>48</v>
      </c>
      <c r="D127" s="2" t="s">
        <v>42</v>
      </c>
      <c r="E127" s="2" t="s">
        <v>324</v>
      </c>
      <c r="F127" s="2" t="s">
        <v>19</v>
      </c>
      <c r="G127" s="2" t="s">
        <v>20</v>
      </c>
      <c r="H127" s="2">
        <v>1</v>
      </c>
      <c r="I127" s="3">
        <v>33500000</v>
      </c>
      <c r="J127" s="3">
        <v>335000</v>
      </c>
      <c r="K127" s="3">
        <v>33165000</v>
      </c>
      <c r="L127" s="2" t="s">
        <v>46</v>
      </c>
      <c r="M127" s="2" t="s">
        <v>22</v>
      </c>
      <c r="N127" s="2" t="s">
        <v>30</v>
      </c>
    </row>
    <row r="128" spans="1:14">
      <c r="A128" s="2" t="s">
        <v>325</v>
      </c>
      <c r="B128" s="2" t="s">
        <v>25</v>
      </c>
      <c r="C128" s="2" t="s">
        <v>48</v>
      </c>
      <c r="D128" s="2"/>
      <c r="E128" s="2" t="s">
        <v>280</v>
      </c>
      <c r="F128" s="2" t="s">
        <v>142</v>
      </c>
      <c r="G128" s="2" t="s">
        <v>143</v>
      </c>
      <c r="H128" s="2">
        <v>1</v>
      </c>
      <c r="I128" s="3">
        <v>18900000</v>
      </c>
      <c r="J128" s="3">
        <v>378000</v>
      </c>
      <c r="K128" s="3">
        <v>18522000</v>
      </c>
      <c r="L128" s="2" t="s">
        <v>21</v>
      </c>
      <c r="M128" s="2" t="s">
        <v>22</v>
      </c>
      <c r="N128" s="2" t="s">
        <v>30</v>
      </c>
    </row>
    <row r="129" spans="1:14">
      <c r="A129" s="2" t="s">
        <v>326</v>
      </c>
      <c r="B129" s="2" t="s">
        <v>189</v>
      </c>
      <c r="C129" s="2" t="s">
        <v>71</v>
      </c>
      <c r="D129" s="2" t="s">
        <v>66</v>
      </c>
      <c r="E129" s="2" t="s">
        <v>327</v>
      </c>
      <c r="F129" s="2" t="s">
        <v>99</v>
      </c>
      <c r="G129" s="2" t="s">
        <v>100</v>
      </c>
      <c r="H129" s="2">
        <v>1</v>
      </c>
      <c r="I129" s="3">
        <v>29800000</v>
      </c>
      <c r="J129" s="3">
        <v>596000</v>
      </c>
      <c r="K129" s="3">
        <v>29204000</v>
      </c>
      <c r="L129" s="2" t="s">
        <v>38</v>
      </c>
      <c r="M129" s="2" t="s">
        <v>22</v>
      </c>
      <c r="N129" s="2" t="s">
        <v>23</v>
      </c>
    </row>
    <row r="130" spans="1:14">
      <c r="A130" s="2" t="s">
        <v>328</v>
      </c>
      <c r="B130" s="2" t="s">
        <v>57</v>
      </c>
      <c r="C130" s="2" t="s">
        <v>26</v>
      </c>
      <c r="D130" s="2" t="s">
        <v>113</v>
      </c>
      <c r="E130" s="2" t="s">
        <v>329</v>
      </c>
      <c r="F130" s="2" t="s">
        <v>152</v>
      </c>
      <c r="G130" s="2" t="s">
        <v>153</v>
      </c>
      <c r="H130" s="2">
        <v>1</v>
      </c>
      <c r="I130" s="3">
        <v>27400000</v>
      </c>
      <c r="J130" s="3">
        <v>0</v>
      </c>
      <c r="K130" s="3">
        <v>27400000</v>
      </c>
      <c r="L130" s="2" t="s">
        <v>38</v>
      </c>
      <c r="M130" s="2" t="s">
        <v>82</v>
      </c>
      <c r="N130" s="2" t="s">
        <v>77</v>
      </c>
    </row>
    <row r="131" spans="1:14">
      <c r="A131" s="2" t="s">
        <v>330</v>
      </c>
      <c r="B131" s="2" t="s">
        <v>162</v>
      </c>
      <c r="C131" s="2" t="s">
        <v>26</v>
      </c>
      <c r="D131" s="2"/>
      <c r="E131" s="2" t="s">
        <v>331</v>
      </c>
      <c r="F131" s="2" t="s">
        <v>152</v>
      </c>
      <c r="G131" s="2" t="s">
        <v>153</v>
      </c>
      <c r="H131" s="2">
        <v>1</v>
      </c>
      <c r="I131" s="3">
        <v>27400000</v>
      </c>
      <c r="J131" s="3">
        <v>0</v>
      </c>
      <c r="K131" s="3">
        <v>27400000</v>
      </c>
      <c r="L131" s="2" t="s">
        <v>38</v>
      </c>
      <c r="M131" s="2" t="s">
        <v>82</v>
      </c>
      <c r="N131" s="2" t="s">
        <v>39</v>
      </c>
    </row>
    <row r="132" spans="1:14">
      <c r="A132" s="2" t="s">
        <v>332</v>
      </c>
      <c r="B132" s="2" t="s">
        <v>108</v>
      </c>
      <c r="C132" s="2" t="s">
        <v>89</v>
      </c>
      <c r="D132" s="2" t="s">
        <v>34</v>
      </c>
      <c r="E132" s="2" t="s">
        <v>333</v>
      </c>
      <c r="F132" s="2" t="s">
        <v>99</v>
      </c>
      <c r="G132" s="2" t="s">
        <v>100</v>
      </c>
      <c r="H132" s="2">
        <v>1</v>
      </c>
      <c r="I132" s="3">
        <v>29800000</v>
      </c>
      <c r="J132" s="3">
        <v>298000</v>
      </c>
      <c r="K132" s="3">
        <v>29502000</v>
      </c>
      <c r="L132" s="2" t="s">
        <v>29</v>
      </c>
      <c r="M132" s="2" t="s">
        <v>22</v>
      </c>
      <c r="N132" s="2" t="s">
        <v>23</v>
      </c>
    </row>
    <row r="133" spans="1:14">
      <c r="A133" s="2" t="s">
        <v>334</v>
      </c>
      <c r="B133" s="2" t="s">
        <v>84</v>
      </c>
      <c r="C133" s="2" t="s">
        <v>71</v>
      </c>
      <c r="D133" s="2" t="s">
        <v>98</v>
      </c>
      <c r="E133" s="2" t="s">
        <v>291</v>
      </c>
      <c r="F133" s="2" t="s">
        <v>91</v>
      </c>
      <c r="G133" s="2" t="s">
        <v>92</v>
      </c>
      <c r="H133" s="2">
        <v>1</v>
      </c>
      <c r="I133" s="3">
        <v>26900000</v>
      </c>
      <c r="J133" s="3">
        <v>0</v>
      </c>
      <c r="K133" s="3">
        <v>26900000</v>
      </c>
      <c r="L133" s="2" t="s">
        <v>38</v>
      </c>
      <c r="M133" s="2" t="s">
        <v>82</v>
      </c>
      <c r="N133" s="2" t="s">
        <v>30</v>
      </c>
    </row>
    <row r="134" spans="1:14">
      <c r="A134" s="2" t="s">
        <v>335</v>
      </c>
      <c r="B134" s="2" t="s">
        <v>111</v>
      </c>
      <c r="C134" s="2" t="s">
        <v>155</v>
      </c>
      <c r="D134" s="2" t="s">
        <v>72</v>
      </c>
      <c r="E134" s="2" t="s">
        <v>336</v>
      </c>
      <c r="F134" s="2" t="s">
        <v>36</v>
      </c>
      <c r="G134" s="2" t="s">
        <v>37</v>
      </c>
      <c r="H134" s="2">
        <v>1</v>
      </c>
      <c r="I134" s="3">
        <v>22300000</v>
      </c>
      <c r="J134" s="3">
        <v>669000</v>
      </c>
      <c r="K134" s="3">
        <v>21631000</v>
      </c>
      <c r="L134" s="2" t="s">
        <v>46</v>
      </c>
      <c r="M134" s="2" t="s">
        <v>22</v>
      </c>
      <c r="N134" s="2" t="s">
        <v>39</v>
      </c>
    </row>
    <row r="135" spans="1:14">
      <c r="A135" s="2" t="s">
        <v>337</v>
      </c>
      <c r="B135" s="2" t="s">
        <v>84</v>
      </c>
      <c r="C135" s="2" t="s">
        <v>33</v>
      </c>
      <c r="D135" s="2" t="s">
        <v>98</v>
      </c>
      <c r="E135" s="2" t="s">
        <v>146</v>
      </c>
      <c r="F135" s="2" t="s">
        <v>99</v>
      </c>
      <c r="G135" s="2" t="s">
        <v>100</v>
      </c>
      <c r="H135" s="2">
        <v>1</v>
      </c>
      <c r="I135" s="3">
        <v>29800000</v>
      </c>
      <c r="J135" s="3">
        <v>1490000</v>
      </c>
      <c r="K135" s="3">
        <v>28310000</v>
      </c>
      <c r="L135" s="2" t="s">
        <v>29</v>
      </c>
      <c r="M135" s="2" t="s">
        <v>22</v>
      </c>
      <c r="N135" s="2" t="s">
        <v>23</v>
      </c>
    </row>
    <row r="136" spans="1:14">
      <c r="A136" s="2" t="s">
        <v>338</v>
      </c>
      <c r="B136" s="2" t="s">
        <v>25</v>
      </c>
      <c r="C136" s="2" t="s">
        <v>85</v>
      </c>
      <c r="D136" s="2" t="s">
        <v>168</v>
      </c>
      <c r="E136" s="2" t="s">
        <v>339</v>
      </c>
      <c r="F136" s="2" t="s">
        <v>99</v>
      </c>
      <c r="G136" s="2" t="s">
        <v>100</v>
      </c>
      <c r="H136" s="2">
        <v>1</v>
      </c>
      <c r="I136" s="3">
        <v>29800000</v>
      </c>
      <c r="J136" s="3">
        <v>0</v>
      </c>
      <c r="K136" s="3">
        <v>29800000</v>
      </c>
      <c r="L136" s="2" t="s">
        <v>38</v>
      </c>
      <c r="M136" s="2" t="s">
        <v>22</v>
      </c>
      <c r="N136" s="2" t="s">
        <v>39</v>
      </c>
    </row>
    <row r="137" spans="1:14">
      <c r="A137" s="2" t="s">
        <v>340</v>
      </c>
      <c r="B137" s="2" t="s">
        <v>140</v>
      </c>
      <c r="C137" s="2" t="s">
        <v>48</v>
      </c>
      <c r="D137" s="2" t="s">
        <v>66</v>
      </c>
      <c r="E137" s="2" t="s">
        <v>341</v>
      </c>
      <c r="F137" s="2" t="s">
        <v>36</v>
      </c>
      <c r="G137" s="2" t="s">
        <v>37</v>
      </c>
      <c r="H137" s="2">
        <v>1</v>
      </c>
      <c r="I137" s="3">
        <v>22300000</v>
      </c>
      <c r="J137" s="3">
        <v>669000</v>
      </c>
      <c r="K137" s="3">
        <v>21631000</v>
      </c>
      <c r="L137" s="2" t="s">
        <v>29</v>
      </c>
      <c r="M137" s="2" t="s">
        <v>22</v>
      </c>
      <c r="N137" s="2" t="s">
        <v>39</v>
      </c>
    </row>
    <row r="138" spans="1:14">
      <c r="A138" s="2" t="s">
        <v>342</v>
      </c>
      <c r="B138" s="2" t="s">
        <v>64</v>
      </c>
      <c r="C138" s="2" t="s">
        <v>48</v>
      </c>
      <c r="D138" s="2" t="s">
        <v>27</v>
      </c>
      <c r="E138" s="2" t="s">
        <v>329</v>
      </c>
      <c r="F138" s="2" t="s">
        <v>152</v>
      </c>
      <c r="G138" s="2" t="s">
        <v>153</v>
      </c>
      <c r="H138" s="2">
        <v>1</v>
      </c>
      <c r="I138" s="3">
        <v>27400000</v>
      </c>
      <c r="J138" s="3">
        <v>0</v>
      </c>
      <c r="K138" s="3">
        <v>0</v>
      </c>
      <c r="L138" s="2" t="s">
        <v>38</v>
      </c>
      <c r="M138" s="2" t="s">
        <v>22</v>
      </c>
      <c r="N138" s="2" t="s">
        <v>30</v>
      </c>
    </row>
    <row r="139" spans="1:14">
      <c r="A139" s="2" t="s">
        <v>343</v>
      </c>
      <c r="B139" s="2" t="s">
        <v>57</v>
      </c>
      <c r="C139" s="2" t="s">
        <v>65</v>
      </c>
      <c r="D139" s="2" t="s">
        <v>54</v>
      </c>
      <c r="E139" s="2" t="s">
        <v>243</v>
      </c>
      <c r="F139" s="2" t="s">
        <v>152</v>
      </c>
      <c r="G139" s="2" t="s">
        <v>153</v>
      </c>
      <c r="H139" s="2">
        <v>1</v>
      </c>
      <c r="I139" s="3">
        <v>27400000</v>
      </c>
      <c r="J139" s="3">
        <v>548000</v>
      </c>
      <c r="K139" s="3">
        <v>26852000</v>
      </c>
      <c r="L139" s="2" t="s">
        <v>46</v>
      </c>
      <c r="M139" s="2" t="s">
        <v>82</v>
      </c>
      <c r="N139" s="2" t="s">
        <v>39</v>
      </c>
    </row>
    <row r="140" spans="1:14">
      <c r="A140" s="2" t="s">
        <v>344</v>
      </c>
      <c r="B140" s="2" t="s">
        <v>15</v>
      </c>
      <c r="C140" s="2" t="s">
        <v>33</v>
      </c>
      <c r="D140" s="2" t="s">
        <v>17</v>
      </c>
      <c r="E140" s="2" t="s">
        <v>345</v>
      </c>
      <c r="F140" s="2" t="s">
        <v>19</v>
      </c>
      <c r="G140" s="2" t="s">
        <v>20</v>
      </c>
      <c r="H140" s="2">
        <v>1</v>
      </c>
      <c r="I140" s="3">
        <v>33500000</v>
      </c>
      <c r="J140" s="3">
        <v>1675000</v>
      </c>
      <c r="K140" s="3">
        <v>31825000</v>
      </c>
      <c r="L140" s="2" t="s">
        <v>46</v>
      </c>
      <c r="M140" s="2" t="s">
        <v>22</v>
      </c>
      <c r="N140" s="2" t="s">
        <v>77</v>
      </c>
    </row>
    <row r="141" spans="1:14">
      <c r="A141" s="2" t="s">
        <v>346</v>
      </c>
      <c r="B141" s="2" t="s">
        <v>57</v>
      </c>
      <c r="C141" s="2" t="s">
        <v>33</v>
      </c>
      <c r="D141" s="2" t="s">
        <v>58</v>
      </c>
      <c r="E141" s="2" t="s">
        <v>347</v>
      </c>
      <c r="F141" s="2" t="s">
        <v>142</v>
      </c>
      <c r="G141" s="2" t="s">
        <v>143</v>
      </c>
      <c r="H141" s="2">
        <v>1</v>
      </c>
      <c r="I141" s="3">
        <v>18900000</v>
      </c>
      <c r="J141" s="3">
        <v>0</v>
      </c>
      <c r="K141" s="3">
        <v>18900000</v>
      </c>
      <c r="L141" s="2" t="s">
        <v>46</v>
      </c>
      <c r="M141" s="2" t="s">
        <v>82</v>
      </c>
      <c r="N141" s="2" t="s">
        <v>77</v>
      </c>
    </row>
    <row r="142" spans="1:14">
      <c r="A142" s="2" t="s">
        <v>348</v>
      </c>
      <c r="B142" s="2" t="s">
        <v>41</v>
      </c>
      <c r="C142" s="2" t="s">
        <v>182</v>
      </c>
      <c r="D142" s="2" t="s">
        <v>113</v>
      </c>
      <c r="E142" s="2" t="s">
        <v>349</v>
      </c>
      <c r="F142" s="2" t="s">
        <v>68</v>
      </c>
      <c r="G142" s="2" t="s">
        <v>69</v>
      </c>
      <c r="H142" s="2">
        <v>1</v>
      </c>
      <c r="I142" s="3">
        <v>17800000</v>
      </c>
      <c r="J142" s="3">
        <v>534000</v>
      </c>
      <c r="K142" s="3">
        <v>17266000</v>
      </c>
      <c r="L142" s="2" t="s">
        <v>21</v>
      </c>
      <c r="M142" s="2" t="s">
        <v>22</v>
      </c>
      <c r="N142" s="2" t="s">
        <v>30</v>
      </c>
    </row>
    <row r="143" spans="1:14">
      <c r="A143" s="2" t="s">
        <v>350</v>
      </c>
      <c r="B143" s="2" t="s">
        <v>25</v>
      </c>
      <c r="C143" s="2" t="s">
        <v>16</v>
      </c>
      <c r="D143" s="2" t="s">
        <v>126</v>
      </c>
      <c r="E143" s="2" t="s">
        <v>351</v>
      </c>
      <c r="F143" s="2" t="s">
        <v>152</v>
      </c>
      <c r="G143" s="2" t="s">
        <v>153</v>
      </c>
      <c r="H143" s="2">
        <v>1</v>
      </c>
      <c r="I143" s="3">
        <v>27400000</v>
      </c>
      <c r="J143" s="3">
        <v>0</v>
      </c>
      <c r="K143" s="3">
        <v>27400000</v>
      </c>
      <c r="L143" s="2" t="s">
        <v>29</v>
      </c>
      <c r="M143" s="2" t="s">
        <v>22</v>
      </c>
      <c r="N143" s="2" t="s">
        <v>77</v>
      </c>
    </row>
    <row r="144" spans="1:14">
      <c r="A144" s="2" t="s">
        <v>352</v>
      </c>
      <c r="B144" s="2" t="s">
        <v>84</v>
      </c>
      <c r="C144" s="2" t="s">
        <v>33</v>
      </c>
      <c r="D144" s="2" t="s">
        <v>49</v>
      </c>
      <c r="E144" s="2" t="s">
        <v>123</v>
      </c>
      <c r="F144" s="2" t="s">
        <v>19</v>
      </c>
      <c r="G144" s="2" t="s">
        <v>20</v>
      </c>
      <c r="H144" s="2">
        <v>1</v>
      </c>
      <c r="I144" s="3">
        <v>33500000</v>
      </c>
      <c r="J144" s="3">
        <v>670000</v>
      </c>
      <c r="K144" s="3">
        <v>32830000</v>
      </c>
      <c r="L144" s="2" t="s">
        <v>21</v>
      </c>
      <c r="M144" s="2" t="s">
        <v>82</v>
      </c>
      <c r="N144" s="2" t="s">
        <v>77</v>
      </c>
    </row>
    <row r="145" spans="1:14">
      <c r="A145" s="2" t="s">
        <v>353</v>
      </c>
      <c r="B145" s="2" t="s">
        <v>167</v>
      </c>
      <c r="C145" s="2" t="s">
        <v>155</v>
      </c>
      <c r="D145" s="2" t="s">
        <v>242</v>
      </c>
      <c r="E145" s="2" t="s">
        <v>223</v>
      </c>
      <c r="F145" s="2" t="s">
        <v>68</v>
      </c>
      <c r="G145" s="2" t="s">
        <v>69</v>
      </c>
      <c r="H145" s="2">
        <v>1</v>
      </c>
      <c r="I145" s="3">
        <v>17800000</v>
      </c>
      <c r="J145" s="3">
        <v>890000</v>
      </c>
      <c r="K145" s="3">
        <v>16910000</v>
      </c>
      <c r="L145" s="2" t="s">
        <v>29</v>
      </c>
      <c r="M145" s="2" t="s">
        <v>22</v>
      </c>
      <c r="N145" s="2" t="s">
        <v>77</v>
      </c>
    </row>
    <row r="146" spans="1:14">
      <c r="A146" s="2" t="s">
        <v>354</v>
      </c>
      <c r="B146" s="2" t="s">
        <v>15</v>
      </c>
      <c r="C146" s="2" t="s">
        <v>85</v>
      </c>
      <c r="D146" s="2" t="s">
        <v>66</v>
      </c>
      <c r="E146" s="2" t="s">
        <v>355</v>
      </c>
      <c r="F146" s="2" t="s">
        <v>19</v>
      </c>
      <c r="G146" s="2" t="s">
        <v>20</v>
      </c>
      <c r="H146" s="2">
        <v>1</v>
      </c>
      <c r="I146" s="3">
        <v>33500000</v>
      </c>
      <c r="J146" s="3">
        <v>0</v>
      </c>
      <c r="K146" s="3">
        <v>33500000</v>
      </c>
      <c r="L146" s="2" t="s">
        <v>46</v>
      </c>
      <c r="M146" s="2" t="s">
        <v>22</v>
      </c>
      <c r="N146" s="2" t="s">
        <v>30</v>
      </c>
    </row>
    <row r="147" spans="1:14">
      <c r="A147" s="2" t="s">
        <v>356</v>
      </c>
      <c r="B147" s="2" t="s">
        <v>140</v>
      </c>
      <c r="C147" s="2" t="s">
        <v>48</v>
      </c>
      <c r="D147" s="2" t="s">
        <v>54</v>
      </c>
      <c r="E147" s="2" t="s">
        <v>351</v>
      </c>
      <c r="F147" s="2" t="s">
        <v>99</v>
      </c>
      <c r="G147" s="2" t="s">
        <v>100</v>
      </c>
      <c r="H147" s="2">
        <v>1</v>
      </c>
      <c r="I147" s="3">
        <v>29800000</v>
      </c>
      <c r="J147" s="3">
        <v>894000</v>
      </c>
      <c r="K147" s="3">
        <v>28906000</v>
      </c>
      <c r="L147" s="2" t="s">
        <v>29</v>
      </c>
      <c r="M147" s="2" t="s">
        <v>82</v>
      </c>
      <c r="N147" s="2" t="s">
        <v>39</v>
      </c>
    </row>
    <row r="148" spans="1:14">
      <c r="A148" s="2" t="s">
        <v>357</v>
      </c>
      <c r="B148" s="2" t="s">
        <v>57</v>
      </c>
      <c r="C148" s="2" t="s">
        <v>71</v>
      </c>
      <c r="D148" s="2" t="s">
        <v>54</v>
      </c>
      <c r="E148" s="2" t="s">
        <v>95</v>
      </c>
      <c r="F148" s="2" t="s">
        <v>142</v>
      </c>
      <c r="G148" s="2" t="s">
        <v>143</v>
      </c>
      <c r="H148" s="2">
        <v>1</v>
      </c>
      <c r="I148" s="3">
        <v>18900000</v>
      </c>
      <c r="J148" s="3">
        <v>0</v>
      </c>
      <c r="K148" s="3">
        <v>18900000</v>
      </c>
      <c r="L148" s="2" t="s">
        <v>46</v>
      </c>
      <c r="M148" s="2" t="s">
        <v>22</v>
      </c>
      <c r="N148" s="2" t="s">
        <v>77</v>
      </c>
    </row>
    <row r="149" spans="1:14">
      <c r="A149" s="2" t="s">
        <v>358</v>
      </c>
      <c r="B149" s="2" t="s">
        <v>64</v>
      </c>
      <c r="C149" s="2" t="s">
        <v>71</v>
      </c>
      <c r="D149" s="2" t="s">
        <v>34</v>
      </c>
      <c r="E149" s="2" t="s">
        <v>245</v>
      </c>
      <c r="F149" s="2" t="s">
        <v>99</v>
      </c>
      <c r="G149" s="2" t="s">
        <v>100</v>
      </c>
      <c r="H149" s="2">
        <v>1</v>
      </c>
      <c r="I149" s="3">
        <v>29800000</v>
      </c>
      <c r="J149" s="3">
        <v>0</v>
      </c>
      <c r="K149" s="3">
        <v>29800000</v>
      </c>
      <c r="L149" s="2" t="s">
        <v>29</v>
      </c>
      <c r="M149" s="2" t="s">
        <v>82</v>
      </c>
      <c r="N149" s="2" t="s">
        <v>30</v>
      </c>
    </row>
    <row r="150" spans="1:14">
      <c r="A150" s="2" t="s">
        <v>359</v>
      </c>
      <c r="B150" s="2" t="s">
        <v>108</v>
      </c>
      <c r="C150" s="2" t="s">
        <v>16</v>
      </c>
      <c r="D150" s="2" t="s">
        <v>17</v>
      </c>
      <c r="E150" s="2" t="s">
        <v>265</v>
      </c>
      <c r="F150" s="2" t="s">
        <v>60</v>
      </c>
      <c r="G150" s="2" t="s">
        <v>61</v>
      </c>
      <c r="H150" s="2">
        <v>1</v>
      </c>
      <c r="I150" s="3">
        <v>21500000</v>
      </c>
      <c r="J150" s="3">
        <v>1075000</v>
      </c>
      <c r="K150" s="3">
        <v>20425000</v>
      </c>
      <c r="L150" s="2" t="s">
        <v>38</v>
      </c>
      <c r="M150" s="2" t="s">
        <v>22</v>
      </c>
      <c r="N150" s="2" t="s">
        <v>77</v>
      </c>
    </row>
    <row r="151" spans="1:14">
      <c r="A151" s="2" t="s">
        <v>360</v>
      </c>
      <c r="B151" s="2" t="s">
        <v>32</v>
      </c>
      <c r="C151" s="2" t="s">
        <v>71</v>
      </c>
      <c r="D151" s="2" t="s">
        <v>80</v>
      </c>
      <c r="E151" s="2" t="s">
        <v>202</v>
      </c>
      <c r="F151" s="2" t="s">
        <v>99</v>
      </c>
      <c r="G151" s="2" t="s">
        <v>100</v>
      </c>
      <c r="H151" s="2">
        <v>1</v>
      </c>
      <c r="I151" s="3">
        <v>29800000</v>
      </c>
      <c r="J151" s="3">
        <v>0</v>
      </c>
      <c r="K151" s="3">
        <v>29800000</v>
      </c>
      <c r="L151" s="2" t="s">
        <v>38</v>
      </c>
      <c r="M151" s="2" t="s">
        <v>22</v>
      </c>
      <c r="N151" s="2" t="s">
        <v>23</v>
      </c>
    </row>
    <row r="152" spans="1:14">
      <c r="A152" s="2" t="s">
        <v>361</v>
      </c>
      <c r="B152" s="2" t="s">
        <v>167</v>
      </c>
      <c r="C152" s="2" t="s">
        <v>362</v>
      </c>
      <c r="D152" s="2" t="s">
        <v>54</v>
      </c>
      <c r="E152" s="2" t="s">
        <v>120</v>
      </c>
      <c r="F152" s="2" t="s">
        <v>68</v>
      </c>
      <c r="G152" s="2" t="s">
        <v>69</v>
      </c>
      <c r="H152" s="2">
        <v>1</v>
      </c>
      <c r="I152" s="3">
        <v>17800000</v>
      </c>
      <c r="J152" s="3">
        <v>178000</v>
      </c>
      <c r="K152" s="3">
        <v>17622000</v>
      </c>
      <c r="L152" s="2" t="s">
        <v>62</v>
      </c>
      <c r="M152" s="2" t="s">
        <v>22</v>
      </c>
      <c r="N152" s="2" t="s">
        <v>39</v>
      </c>
    </row>
    <row r="153" spans="1:14">
      <c r="A153" s="2" t="s">
        <v>363</v>
      </c>
      <c r="B153" s="2" t="s">
        <v>108</v>
      </c>
      <c r="C153" s="2" t="s">
        <v>16</v>
      </c>
      <c r="D153" s="2" t="s">
        <v>49</v>
      </c>
      <c r="E153" s="2" t="s">
        <v>245</v>
      </c>
      <c r="F153" s="2" t="s">
        <v>19</v>
      </c>
      <c r="G153" s="2" t="s">
        <v>20</v>
      </c>
      <c r="H153" s="2">
        <v>1</v>
      </c>
      <c r="I153" s="3">
        <v>33500000</v>
      </c>
      <c r="J153" s="3">
        <v>335000</v>
      </c>
      <c r="K153" s="3">
        <v>33165000</v>
      </c>
      <c r="L153" s="2" t="s">
        <v>62</v>
      </c>
      <c r="M153" s="2" t="s">
        <v>22</v>
      </c>
      <c r="N153" s="2" t="s">
        <v>23</v>
      </c>
    </row>
    <row r="154" spans="1:14">
      <c r="A154" s="2" t="s">
        <v>364</v>
      </c>
      <c r="B154" s="2" t="s">
        <v>162</v>
      </c>
      <c r="C154" s="2" t="s">
        <v>48</v>
      </c>
      <c r="D154" s="2" t="s">
        <v>66</v>
      </c>
      <c r="E154" s="2" t="s">
        <v>50</v>
      </c>
      <c r="F154" s="2" t="s">
        <v>152</v>
      </c>
      <c r="G154" s="2" t="s">
        <v>153</v>
      </c>
      <c r="H154" s="2">
        <v>1</v>
      </c>
      <c r="I154" s="3">
        <v>27400000</v>
      </c>
      <c r="J154" s="3">
        <v>0</v>
      </c>
      <c r="K154" s="3">
        <v>27400000</v>
      </c>
      <c r="L154" s="2" t="s">
        <v>38</v>
      </c>
      <c r="M154" s="2" t="s">
        <v>22</v>
      </c>
      <c r="N154" s="2" t="s">
        <v>39</v>
      </c>
    </row>
    <row r="155" spans="1:14">
      <c r="A155" s="2" t="s">
        <v>365</v>
      </c>
      <c r="B155" s="2" t="s">
        <v>64</v>
      </c>
      <c r="C155" s="2" t="s">
        <v>16</v>
      </c>
      <c r="D155" s="2"/>
      <c r="E155" s="2" t="s">
        <v>243</v>
      </c>
      <c r="F155" s="2" t="s">
        <v>152</v>
      </c>
      <c r="G155" s="2" t="s">
        <v>153</v>
      </c>
      <c r="H155" s="2">
        <v>1</v>
      </c>
      <c r="I155" s="3">
        <v>27400000</v>
      </c>
      <c r="J155" s="3">
        <v>274000</v>
      </c>
      <c r="K155" s="3">
        <v>27126000</v>
      </c>
      <c r="L155" s="2" t="s">
        <v>29</v>
      </c>
      <c r="M155" s="2" t="s">
        <v>22</v>
      </c>
      <c r="N155" s="2" t="s">
        <v>39</v>
      </c>
    </row>
    <row r="156" spans="1:14">
      <c r="A156" s="2" t="s">
        <v>366</v>
      </c>
      <c r="B156" s="2" t="s">
        <v>64</v>
      </c>
      <c r="C156" s="2" t="s">
        <v>26</v>
      </c>
      <c r="D156" s="2" t="s">
        <v>145</v>
      </c>
      <c r="E156" s="2" t="s">
        <v>286</v>
      </c>
      <c r="F156" s="2" t="s">
        <v>51</v>
      </c>
      <c r="G156" s="2" t="s">
        <v>52</v>
      </c>
      <c r="H156" s="2">
        <v>2</v>
      </c>
      <c r="I156" s="3">
        <v>41000000</v>
      </c>
      <c r="J156" s="3">
        <v>4100000</v>
      </c>
      <c r="K156" s="3">
        <v>77900000</v>
      </c>
      <c r="L156" s="2" t="s">
        <v>62</v>
      </c>
      <c r="M156" s="2" t="s">
        <v>87</v>
      </c>
      <c r="N156" s="2" t="s">
        <v>30</v>
      </c>
    </row>
    <row r="157" spans="1:14">
      <c r="A157" s="2" t="s">
        <v>367</v>
      </c>
      <c r="B157" s="2" t="s">
        <v>189</v>
      </c>
      <c r="C157" s="2" t="s">
        <v>182</v>
      </c>
      <c r="D157" s="2" t="s">
        <v>34</v>
      </c>
      <c r="E157" s="2" t="s">
        <v>368</v>
      </c>
      <c r="F157" s="2" t="s">
        <v>152</v>
      </c>
      <c r="G157" s="2" t="s">
        <v>153</v>
      </c>
      <c r="H157" s="2">
        <v>1</v>
      </c>
      <c r="I157" s="3">
        <v>27400000</v>
      </c>
      <c r="J157" s="3">
        <v>1370000</v>
      </c>
      <c r="K157" s="3">
        <v>26030000</v>
      </c>
      <c r="L157" s="2" t="s">
        <v>62</v>
      </c>
      <c r="M157" s="2" t="s">
        <v>22</v>
      </c>
      <c r="N157" s="2" t="s">
        <v>23</v>
      </c>
    </row>
    <row r="158" spans="1:14">
      <c r="A158" s="2" t="s">
        <v>369</v>
      </c>
      <c r="B158" s="2" t="s">
        <v>25</v>
      </c>
      <c r="C158" s="2" t="s">
        <v>97</v>
      </c>
      <c r="D158" s="2" t="s">
        <v>58</v>
      </c>
      <c r="E158" s="2" t="s">
        <v>370</v>
      </c>
      <c r="F158" s="2" t="s">
        <v>19</v>
      </c>
      <c r="G158" s="2" t="s">
        <v>20</v>
      </c>
      <c r="H158" s="2">
        <v>1</v>
      </c>
      <c r="I158" s="3">
        <v>33500000</v>
      </c>
      <c r="J158" s="3">
        <v>335000</v>
      </c>
      <c r="K158" s="3">
        <v>33165000</v>
      </c>
      <c r="L158" s="2" t="s">
        <v>21</v>
      </c>
      <c r="M158" s="2" t="s">
        <v>22</v>
      </c>
      <c r="N158" s="2" t="s">
        <v>77</v>
      </c>
    </row>
    <row r="159" spans="1:14">
      <c r="A159" s="2" t="s">
        <v>371</v>
      </c>
      <c r="B159" s="2" t="s">
        <v>64</v>
      </c>
      <c r="C159" s="2" t="s">
        <v>26</v>
      </c>
      <c r="D159" s="2" t="s">
        <v>98</v>
      </c>
      <c r="E159" s="2" t="s">
        <v>372</v>
      </c>
      <c r="F159" s="2" t="s">
        <v>44</v>
      </c>
      <c r="G159" s="2" t="s">
        <v>45</v>
      </c>
      <c r="H159" s="2">
        <v>1</v>
      </c>
      <c r="I159" s="3">
        <v>24600000</v>
      </c>
      <c r="J159" s="3">
        <v>0</v>
      </c>
      <c r="K159" s="3">
        <v>24600000</v>
      </c>
      <c r="L159" s="2" t="s">
        <v>21</v>
      </c>
      <c r="M159" s="2" t="s">
        <v>22</v>
      </c>
      <c r="N159" s="2" t="s">
        <v>23</v>
      </c>
    </row>
    <row r="160" spans="1:14">
      <c r="A160" s="2" t="s">
        <v>373</v>
      </c>
      <c r="B160" s="2" t="s">
        <v>57</v>
      </c>
      <c r="C160" s="2" t="s">
        <v>182</v>
      </c>
      <c r="D160" s="2" t="s">
        <v>54</v>
      </c>
      <c r="E160" s="2" t="s">
        <v>374</v>
      </c>
      <c r="F160" s="2" t="s">
        <v>60</v>
      </c>
      <c r="G160" s="2" t="s">
        <v>61</v>
      </c>
      <c r="H160" s="2">
        <v>1</v>
      </c>
      <c r="I160" s="3">
        <v>21500000</v>
      </c>
      <c r="J160" s="3">
        <v>1075000</v>
      </c>
      <c r="K160" s="3">
        <v>20425000</v>
      </c>
      <c r="L160" s="2" t="s">
        <v>62</v>
      </c>
      <c r="M160" s="2" t="s">
        <v>22</v>
      </c>
      <c r="N160" s="2" t="s">
        <v>77</v>
      </c>
    </row>
    <row r="161" spans="1:14">
      <c r="A161" s="2" t="s">
        <v>375</v>
      </c>
      <c r="B161" s="2" t="s">
        <v>15</v>
      </c>
      <c r="C161" s="2" t="s">
        <v>33</v>
      </c>
      <c r="D161" s="2" t="s">
        <v>75</v>
      </c>
      <c r="E161" s="2" t="s">
        <v>221</v>
      </c>
      <c r="F161" s="2" t="s">
        <v>99</v>
      </c>
      <c r="G161" s="2" t="s">
        <v>100</v>
      </c>
      <c r="H161" s="2">
        <v>1</v>
      </c>
      <c r="I161" s="3">
        <v>29800000</v>
      </c>
      <c r="J161" s="3">
        <v>298000</v>
      </c>
      <c r="K161" s="3">
        <v>29502000</v>
      </c>
      <c r="L161" s="2" t="s">
        <v>46</v>
      </c>
      <c r="M161" s="2" t="s">
        <v>87</v>
      </c>
      <c r="N161" s="2" t="s">
        <v>30</v>
      </c>
    </row>
    <row r="162" spans="1:14">
      <c r="A162" s="2" t="s">
        <v>376</v>
      </c>
      <c r="B162" s="2" t="s">
        <v>108</v>
      </c>
      <c r="C162" s="2" t="s">
        <v>16</v>
      </c>
      <c r="D162" s="2" t="s">
        <v>34</v>
      </c>
      <c r="E162" s="2" t="s">
        <v>289</v>
      </c>
      <c r="F162" s="2" t="s">
        <v>19</v>
      </c>
      <c r="G162" s="2" t="s">
        <v>20</v>
      </c>
      <c r="H162" s="2">
        <v>1</v>
      </c>
      <c r="I162" s="3">
        <v>33500000</v>
      </c>
      <c r="J162" s="3">
        <v>0</v>
      </c>
      <c r="K162" s="3">
        <v>33500000</v>
      </c>
      <c r="L162" s="2" t="s">
        <v>21</v>
      </c>
      <c r="M162" s="2" t="s">
        <v>22</v>
      </c>
      <c r="N162" s="2" t="s">
        <v>77</v>
      </c>
    </row>
    <row r="163" spans="1:14">
      <c r="A163" s="2" t="s">
        <v>377</v>
      </c>
      <c r="B163" s="2" t="s">
        <v>57</v>
      </c>
      <c r="C163" s="2" t="s">
        <v>85</v>
      </c>
      <c r="D163" s="2"/>
      <c r="E163" s="2" t="s">
        <v>50</v>
      </c>
      <c r="F163" s="2" t="s">
        <v>19</v>
      </c>
      <c r="G163" s="2" t="s">
        <v>20</v>
      </c>
      <c r="H163" s="2">
        <v>1</v>
      </c>
      <c r="I163" s="3">
        <v>33500000</v>
      </c>
      <c r="J163" s="3">
        <v>0</v>
      </c>
      <c r="K163" s="3">
        <v>33500000</v>
      </c>
      <c r="L163" s="2" t="s">
        <v>62</v>
      </c>
      <c r="M163" s="2" t="s">
        <v>22</v>
      </c>
      <c r="N163" s="2" t="s">
        <v>30</v>
      </c>
    </row>
    <row r="164" spans="1:14">
      <c r="A164" s="2" t="s">
        <v>378</v>
      </c>
      <c r="B164" s="2" t="s">
        <v>15</v>
      </c>
      <c r="C164" s="2" t="s">
        <v>155</v>
      </c>
      <c r="D164" s="2" t="s">
        <v>130</v>
      </c>
      <c r="E164" s="2" t="s">
        <v>379</v>
      </c>
      <c r="F164" s="2" t="s">
        <v>19</v>
      </c>
      <c r="G164" s="2" t="s">
        <v>20</v>
      </c>
      <c r="H164" s="2">
        <v>1</v>
      </c>
      <c r="I164" s="3">
        <v>33500000</v>
      </c>
      <c r="J164" s="3">
        <v>0</v>
      </c>
      <c r="K164" s="3">
        <v>33500000</v>
      </c>
      <c r="L164" s="2" t="s">
        <v>21</v>
      </c>
      <c r="M164" s="2" t="s">
        <v>22</v>
      </c>
      <c r="N164" s="2" t="s">
        <v>39</v>
      </c>
    </row>
    <row r="165" spans="1:14">
      <c r="A165" s="2" t="s">
        <v>380</v>
      </c>
      <c r="B165" s="2" t="s">
        <v>189</v>
      </c>
      <c r="C165" s="2" t="s">
        <v>212</v>
      </c>
      <c r="D165" s="2" t="s">
        <v>66</v>
      </c>
      <c r="E165" s="2" t="s">
        <v>381</v>
      </c>
      <c r="F165" s="2" t="s">
        <v>51</v>
      </c>
      <c r="G165" s="2" t="s">
        <v>52</v>
      </c>
      <c r="H165" s="2">
        <v>1</v>
      </c>
      <c r="I165" s="3">
        <v>41000000</v>
      </c>
      <c r="J165" s="3">
        <v>2050000</v>
      </c>
      <c r="K165" s="3">
        <v>38950000</v>
      </c>
      <c r="L165" s="2" t="s">
        <v>46</v>
      </c>
      <c r="M165" s="2" t="s">
        <v>22</v>
      </c>
      <c r="N165" s="2" t="s">
        <v>23</v>
      </c>
    </row>
    <row r="166" spans="1:14">
      <c r="A166" s="2" t="s">
        <v>382</v>
      </c>
      <c r="B166" s="2" t="s">
        <v>102</v>
      </c>
      <c r="C166" s="2" t="s">
        <v>112</v>
      </c>
      <c r="D166" s="2" t="s">
        <v>75</v>
      </c>
      <c r="E166" s="2" t="s">
        <v>43</v>
      </c>
      <c r="F166" s="2" t="s">
        <v>19</v>
      </c>
      <c r="G166" s="2" t="s">
        <v>20</v>
      </c>
      <c r="H166" s="2">
        <v>1</v>
      </c>
      <c r="I166" s="3">
        <v>33500000</v>
      </c>
      <c r="J166" s="3">
        <v>1005000</v>
      </c>
      <c r="K166" s="3">
        <v>32495000</v>
      </c>
      <c r="L166" s="2" t="s">
        <v>38</v>
      </c>
      <c r="M166" s="2" t="s">
        <v>22</v>
      </c>
      <c r="N166" s="2" t="s">
        <v>39</v>
      </c>
    </row>
    <row r="167" spans="1:14">
      <c r="A167" s="2" t="s">
        <v>383</v>
      </c>
      <c r="B167" s="2" t="s">
        <v>15</v>
      </c>
      <c r="C167" s="2" t="s">
        <v>97</v>
      </c>
      <c r="D167" s="2" t="s">
        <v>126</v>
      </c>
      <c r="E167" s="2" t="s">
        <v>103</v>
      </c>
      <c r="F167" s="2" t="s">
        <v>68</v>
      </c>
      <c r="G167" s="2" t="s">
        <v>69</v>
      </c>
      <c r="H167" s="2">
        <v>1</v>
      </c>
      <c r="I167" s="3">
        <v>17800000</v>
      </c>
      <c r="J167" s="3">
        <v>0</v>
      </c>
      <c r="K167" s="3">
        <v>17800000</v>
      </c>
      <c r="L167" s="2" t="s">
        <v>29</v>
      </c>
      <c r="M167" s="2" t="s">
        <v>22</v>
      </c>
      <c r="N167" s="2" t="s">
        <v>23</v>
      </c>
    </row>
    <row r="168" spans="1:14">
      <c r="A168" s="2" t="s">
        <v>384</v>
      </c>
      <c r="B168" s="2" t="s">
        <v>25</v>
      </c>
      <c r="C168" s="2" t="s">
        <v>65</v>
      </c>
      <c r="D168" s="2" t="s">
        <v>42</v>
      </c>
      <c r="E168" s="2" t="s">
        <v>169</v>
      </c>
      <c r="F168" s="2" t="s">
        <v>19</v>
      </c>
      <c r="G168" s="2" t="s">
        <v>20</v>
      </c>
      <c r="H168" s="2">
        <v>1</v>
      </c>
      <c r="I168" s="3">
        <v>33500000</v>
      </c>
      <c r="J168" s="3">
        <v>670000</v>
      </c>
      <c r="K168" s="3">
        <v>32830000</v>
      </c>
      <c r="L168" s="2" t="s">
        <v>46</v>
      </c>
      <c r="M168" s="2" t="s">
        <v>22</v>
      </c>
      <c r="N168" s="2" t="s">
        <v>39</v>
      </c>
    </row>
    <row r="169" spans="1:14">
      <c r="A169" s="2" t="s">
        <v>385</v>
      </c>
      <c r="B169" s="2" t="s">
        <v>84</v>
      </c>
      <c r="C169" s="2" t="s">
        <v>85</v>
      </c>
      <c r="D169" s="2" t="s">
        <v>80</v>
      </c>
      <c r="E169" s="2" t="s">
        <v>386</v>
      </c>
      <c r="F169" s="2" t="s">
        <v>60</v>
      </c>
      <c r="G169" s="2" t="s">
        <v>61</v>
      </c>
      <c r="H169" s="2">
        <v>1</v>
      </c>
      <c r="I169" s="3">
        <v>21500000</v>
      </c>
      <c r="J169" s="3">
        <v>1075000</v>
      </c>
      <c r="K169" s="3">
        <v>20425000</v>
      </c>
      <c r="L169" s="2" t="s">
        <v>21</v>
      </c>
      <c r="M169" s="2" t="s">
        <v>22</v>
      </c>
      <c r="N169" s="2" t="s">
        <v>23</v>
      </c>
    </row>
    <row r="170" spans="1:14">
      <c r="A170" s="2" t="s">
        <v>387</v>
      </c>
      <c r="B170" s="2" t="s">
        <v>15</v>
      </c>
      <c r="C170" s="2" t="s">
        <v>33</v>
      </c>
      <c r="D170" s="2" t="s">
        <v>72</v>
      </c>
      <c r="E170" s="2" t="s">
        <v>123</v>
      </c>
      <c r="F170" s="2" t="s">
        <v>91</v>
      </c>
      <c r="G170" s="2" t="s">
        <v>92</v>
      </c>
      <c r="H170" s="2">
        <v>1</v>
      </c>
      <c r="I170" s="3">
        <v>26900000</v>
      </c>
      <c r="J170" s="3">
        <v>269000</v>
      </c>
      <c r="K170" s="3">
        <v>26631000</v>
      </c>
      <c r="L170" s="2" t="s">
        <v>21</v>
      </c>
      <c r="M170" s="2" t="s">
        <v>22</v>
      </c>
      <c r="N170" s="2" t="s">
        <v>23</v>
      </c>
    </row>
    <row r="171" spans="1:14">
      <c r="A171" s="2" t="s">
        <v>388</v>
      </c>
      <c r="B171" s="2" t="s">
        <v>15</v>
      </c>
      <c r="C171" s="2" t="s">
        <v>97</v>
      </c>
      <c r="D171" s="2" t="s">
        <v>66</v>
      </c>
      <c r="E171" s="2" t="s">
        <v>171</v>
      </c>
      <c r="F171" s="2" t="s">
        <v>19</v>
      </c>
      <c r="G171" s="2" t="s">
        <v>20</v>
      </c>
      <c r="H171" s="2">
        <v>2</v>
      </c>
      <c r="I171" s="3">
        <v>33500000</v>
      </c>
      <c r="J171" s="3">
        <v>670000</v>
      </c>
      <c r="K171" s="3">
        <v>66330000</v>
      </c>
      <c r="L171" s="2" t="s">
        <v>38</v>
      </c>
      <c r="M171" s="2" t="s">
        <v>22</v>
      </c>
      <c r="N171" s="2" t="s">
        <v>23</v>
      </c>
    </row>
    <row r="172" spans="1:14">
      <c r="A172" s="2" t="s">
        <v>389</v>
      </c>
      <c r="B172" s="2" t="s">
        <v>57</v>
      </c>
      <c r="C172" s="2" t="s">
        <v>148</v>
      </c>
      <c r="D172" s="2" t="s">
        <v>66</v>
      </c>
      <c r="E172" s="2" t="s">
        <v>390</v>
      </c>
      <c r="F172" s="2" t="s">
        <v>51</v>
      </c>
      <c r="G172" s="2" t="s">
        <v>52</v>
      </c>
      <c r="H172" s="2">
        <v>1</v>
      </c>
      <c r="I172" s="3">
        <v>41000000</v>
      </c>
      <c r="J172" s="3">
        <v>0</v>
      </c>
      <c r="K172" s="3">
        <v>41000000</v>
      </c>
      <c r="L172" s="2" t="s">
        <v>21</v>
      </c>
      <c r="M172" s="2" t="s">
        <v>87</v>
      </c>
      <c r="N172" s="2" t="s">
        <v>39</v>
      </c>
    </row>
    <row r="173" spans="1:14">
      <c r="A173" s="2" t="s">
        <v>391</v>
      </c>
      <c r="B173" s="2" t="s">
        <v>25</v>
      </c>
      <c r="C173" s="2" t="s">
        <v>112</v>
      </c>
      <c r="D173" s="2" t="s">
        <v>201</v>
      </c>
      <c r="E173" s="2" t="s">
        <v>392</v>
      </c>
      <c r="F173" s="2" t="s">
        <v>142</v>
      </c>
      <c r="G173" s="2" t="s">
        <v>143</v>
      </c>
      <c r="H173" s="2">
        <v>1</v>
      </c>
      <c r="I173" s="3">
        <v>18900000</v>
      </c>
      <c r="J173" s="3">
        <v>0</v>
      </c>
      <c r="K173" s="3">
        <v>18900000</v>
      </c>
      <c r="L173" s="2" t="s">
        <v>21</v>
      </c>
      <c r="M173" s="2" t="s">
        <v>22</v>
      </c>
      <c r="N173" s="2" t="s">
        <v>30</v>
      </c>
    </row>
    <row r="174" spans="1:14">
      <c r="A174" s="2" t="s">
        <v>393</v>
      </c>
      <c r="B174" s="2" t="s">
        <v>140</v>
      </c>
      <c r="C174" s="2" t="s">
        <v>48</v>
      </c>
      <c r="D174" s="2" t="s">
        <v>98</v>
      </c>
      <c r="E174" s="2" t="s">
        <v>394</v>
      </c>
      <c r="F174" s="2" t="s">
        <v>19</v>
      </c>
      <c r="G174" s="2" t="s">
        <v>20</v>
      </c>
      <c r="H174" s="2">
        <v>1</v>
      </c>
      <c r="I174" s="3">
        <v>33500000</v>
      </c>
      <c r="J174" s="3">
        <v>0</v>
      </c>
      <c r="K174" s="3">
        <v>33500000</v>
      </c>
      <c r="L174" s="2" t="s">
        <v>29</v>
      </c>
      <c r="M174" s="2" t="s">
        <v>22</v>
      </c>
      <c r="N174" s="2" t="s">
        <v>39</v>
      </c>
    </row>
    <row r="175" spans="1:14">
      <c r="A175" s="2" t="s">
        <v>395</v>
      </c>
      <c r="B175" s="2" t="s">
        <v>140</v>
      </c>
      <c r="C175" s="2" t="s">
        <v>26</v>
      </c>
      <c r="D175" s="2" t="s">
        <v>80</v>
      </c>
      <c r="E175" s="2" t="s">
        <v>219</v>
      </c>
      <c r="F175" s="2" t="s">
        <v>19</v>
      </c>
      <c r="G175" s="2" t="s">
        <v>20</v>
      </c>
      <c r="H175" s="2">
        <v>1</v>
      </c>
      <c r="I175" s="3">
        <v>33500000</v>
      </c>
      <c r="J175" s="3">
        <v>335000</v>
      </c>
      <c r="K175" s="3">
        <v>33165000</v>
      </c>
      <c r="L175" s="2" t="s">
        <v>29</v>
      </c>
      <c r="M175" s="2" t="s">
        <v>22</v>
      </c>
      <c r="N175" s="2" t="s">
        <v>23</v>
      </c>
    </row>
    <row r="176" spans="1:14">
      <c r="A176" s="2" t="s">
        <v>396</v>
      </c>
      <c r="B176" s="2" t="s">
        <v>167</v>
      </c>
      <c r="C176" s="2" t="s">
        <v>33</v>
      </c>
      <c r="D176" s="2" t="s">
        <v>72</v>
      </c>
      <c r="E176" s="2" t="s">
        <v>280</v>
      </c>
      <c r="F176" s="2" t="s">
        <v>91</v>
      </c>
      <c r="G176" s="2" t="s">
        <v>92</v>
      </c>
      <c r="H176" s="2">
        <v>1</v>
      </c>
      <c r="I176" s="3">
        <v>26900000</v>
      </c>
      <c r="J176" s="3">
        <v>269000</v>
      </c>
      <c r="K176" s="3">
        <v>26631000</v>
      </c>
      <c r="L176" s="2" t="s">
        <v>46</v>
      </c>
      <c r="M176" s="2" t="s">
        <v>22</v>
      </c>
      <c r="N176" s="2" t="s">
        <v>30</v>
      </c>
    </row>
    <row r="177" spans="1:14">
      <c r="A177" s="2" t="s">
        <v>397</v>
      </c>
      <c r="B177" s="2" t="s">
        <v>15</v>
      </c>
      <c r="C177" s="2" t="s">
        <v>33</v>
      </c>
      <c r="D177" s="2" t="s">
        <v>201</v>
      </c>
      <c r="E177" s="2" t="s">
        <v>35</v>
      </c>
      <c r="F177" s="2" t="s">
        <v>99</v>
      </c>
      <c r="G177" s="2" t="s">
        <v>100</v>
      </c>
      <c r="H177" s="2">
        <v>1</v>
      </c>
      <c r="I177" s="3">
        <v>29800000</v>
      </c>
      <c r="J177" s="3">
        <v>596000</v>
      </c>
      <c r="K177" s="3">
        <v>29204000</v>
      </c>
      <c r="L177" s="2" t="s">
        <v>62</v>
      </c>
      <c r="M177" s="2" t="s">
        <v>22</v>
      </c>
      <c r="N177" s="2" t="s">
        <v>39</v>
      </c>
    </row>
    <row r="178" spans="1:14">
      <c r="A178" s="2" t="s">
        <v>398</v>
      </c>
      <c r="B178" s="2" t="s">
        <v>125</v>
      </c>
      <c r="C178" s="2" t="s">
        <v>97</v>
      </c>
      <c r="D178" s="2"/>
      <c r="E178" s="2" t="s">
        <v>109</v>
      </c>
      <c r="F178" s="2" t="s">
        <v>60</v>
      </c>
      <c r="G178" s="2" t="s">
        <v>61</v>
      </c>
      <c r="H178" s="2">
        <v>1</v>
      </c>
      <c r="I178" s="3">
        <v>21500000</v>
      </c>
      <c r="J178" s="3">
        <v>645000</v>
      </c>
      <c r="K178" s="3">
        <v>20855000</v>
      </c>
      <c r="L178" s="2" t="s">
        <v>46</v>
      </c>
      <c r="M178" s="2" t="s">
        <v>22</v>
      </c>
      <c r="N178" s="2" t="s">
        <v>77</v>
      </c>
    </row>
    <row r="179" spans="1:14">
      <c r="A179" s="2" t="s">
        <v>399</v>
      </c>
      <c r="B179" s="2" t="s">
        <v>111</v>
      </c>
      <c r="C179" s="2" t="s">
        <v>33</v>
      </c>
      <c r="D179" s="2" t="s">
        <v>130</v>
      </c>
      <c r="E179" s="2" t="s">
        <v>322</v>
      </c>
      <c r="F179" s="2" t="s">
        <v>152</v>
      </c>
      <c r="G179" s="2" t="s">
        <v>153</v>
      </c>
      <c r="H179" s="2">
        <v>1</v>
      </c>
      <c r="I179" s="3">
        <v>27400000</v>
      </c>
      <c r="J179" s="3">
        <v>274000</v>
      </c>
      <c r="K179" s="3">
        <v>27126000</v>
      </c>
      <c r="L179" s="2" t="s">
        <v>29</v>
      </c>
      <c r="M179" s="2" t="s">
        <v>22</v>
      </c>
      <c r="N179" s="2" t="s">
        <v>39</v>
      </c>
    </row>
    <row r="180" spans="1:14">
      <c r="A180" s="2" t="s">
        <v>400</v>
      </c>
      <c r="B180" s="2" t="s">
        <v>84</v>
      </c>
      <c r="C180" s="2" t="s">
        <v>182</v>
      </c>
      <c r="D180" s="2" t="s">
        <v>98</v>
      </c>
      <c r="E180" s="2" t="s">
        <v>280</v>
      </c>
      <c r="F180" s="2" t="s">
        <v>51</v>
      </c>
      <c r="G180" s="2" t="s">
        <v>52</v>
      </c>
      <c r="H180" s="2">
        <v>1</v>
      </c>
      <c r="I180" s="3">
        <v>41000000</v>
      </c>
      <c r="J180" s="3">
        <v>0</v>
      </c>
      <c r="K180" s="3">
        <v>41000000</v>
      </c>
      <c r="L180" s="2" t="s">
        <v>62</v>
      </c>
      <c r="M180" s="2" t="s">
        <v>22</v>
      </c>
      <c r="N180" s="2" t="s">
        <v>30</v>
      </c>
    </row>
    <row r="181" spans="1:14">
      <c r="A181" s="2" t="s">
        <v>401</v>
      </c>
      <c r="B181" s="2" t="s">
        <v>25</v>
      </c>
      <c r="C181" s="2" t="s">
        <v>112</v>
      </c>
      <c r="D181" s="2" t="s">
        <v>27</v>
      </c>
      <c r="E181" s="2" t="s">
        <v>402</v>
      </c>
      <c r="F181" s="2" t="s">
        <v>19</v>
      </c>
      <c r="G181" s="2" t="s">
        <v>20</v>
      </c>
      <c r="H181" s="2">
        <v>1</v>
      </c>
      <c r="I181" s="3">
        <v>33500000</v>
      </c>
      <c r="J181" s="3">
        <v>1005000</v>
      </c>
      <c r="K181" s="3">
        <v>32495000</v>
      </c>
      <c r="L181" s="2" t="s">
        <v>29</v>
      </c>
      <c r="M181" s="2" t="s">
        <v>22</v>
      </c>
      <c r="N181" s="2" t="s">
        <v>30</v>
      </c>
    </row>
    <row r="182" spans="1:14">
      <c r="A182" s="2" t="s">
        <v>403</v>
      </c>
      <c r="B182" s="2" t="s">
        <v>140</v>
      </c>
      <c r="C182" s="2" t="s">
        <v>148</v>
      </c>
      <c r="D182" s="2" t="s">
        <v>58</v>
      </c>
      <c r="E182" s="2" t="s">
        <v>404</v>
      </c>
      <c r="F182" s="2" t="s">
        <v>99</v>
      </c>
      <c r="G182" s="2" t="s">
        <v>100</v>
      </c>
      <c r="H182" s="2">
        <v>1</v>
      </c>
      <c r="I182" s="3">
        <v>29800000</v>
      </c>
      <c r="J182" s="3">
        <v>596000</v>
      </c>
      <c r="K182" s="3">
        <v>29204000</v>
      </c>
      <c r="L182" s="2" t="s">
        <v>62</v>
      </c>
      <c r="M182" s="2" t="s">
        <v>22</v>
      </c>
      <c r="N182" s="2" t="s">
        <v>23</v>
      </c>
    </row>
    <row r="183" spans="1:14">
      <c r="A183" s="2" t="s">
        <v>405</v>
      </c>
      <c r="B183" s="2" t="s">
        <v>15</v>
      </c>
      <c r="C183" s="2" t="s">
        <v>71</v>
      </c>
      <c r="D183" s="2" t="s">
        <v>145</v>
      </c>
      <c r="E183" s="2" t="s">
        <v>406</v>
      </c>
      <c r="F183" s="2" t="s">
        <v>19</v>
      </c>
      <c r="G183" s="2" t="s">
        <v>20</v>
      </c>
      <c r="H183" s="2">
        <v>1</v>
      </c>
      <c r="I183" s="3">
        <v>33500000</v>
      </c>
      <c r="J183" s="3">
        <v>335000</v>
      </c>
      <c r="K183" s="3">
        <v>33165000</v>
      </c>
      <c r="L183" s="2" t="s">
        <v>46</v>
      </c>
      <c r="M183" s="2" t="s">
        <v>22</v>
      </c>
      <c r="N183" s="2" t="s">
        <v>30</v>
      </c>
    </row>
    <row r="184" spans="1:14">
      <c r="A184" s="2" t="s">
        <v>407</v>
      </c>
      <c r="B184" s="2" t="s">
        <v>105</v>
      </c>
      <c r="C184" s="2" t="s">
        <v>48</v>
      </c>
      <c r="D184" s="2" t="s">
        <v>80</v>
      </c>
      <c r="E184" s="2" t="s">
        <v>267</v>
      </c>
      <c r="F184" s="2" t="s">
        <v>19</v>
      </c>
      <c r="G184" s="2" t="s">
        <v>20</v>
      </c>
      <c r="H184" s="2">
        <v>1</v>
      </c>
      <c r="I184" s="3">
        <v>33500000</v>
      </c>
      <c r="J184" s="3">
        <v>1005000</v>
      </c>
      <c r="K184" s="3">
        <v>32495000</v>
      </c>
      <c r="L184" s="2" t="s">
        <v>38</v>
      </c>
      <c r="M184" s="2" t="s">
        <v>82</v>
      </c>
      <c r="N184" s="2" t="s">
        <v>77</v>
      </c>
    </row>
    <row r="185" spans="1:14">
      <c r="A185" s="2" t="s">
        <v>408</v>
      </c>
      <c r="B185" s="2" t="s">
        <v>32</v>
      </c>
      <c r="C185" s="2" t="s">
        <v>362</v>
      </c>
      <c r="D185" s="2" t="s">
        <v>27</v>
      </c>
      <c r="E185" s="2" t="s">
        <v>259</v>
      </c>
      <c r="F185" s="2" t="s">
        <v>19</v>
      </c>
      <c r="G185" s="2" t="s">
        <v>20</v>
      </c>
      <c r="H185" s="2">
        <v>1</v>
      </c>
      <c r="I185" s="3">
        <v>33500000</v>
      </c>
      <c r="J185" s="3">
        <v>670000</v>
      </c>
      <c r="K185" s="3">
        <v>32830000</v>
      </c>
      <c r="L185" s="2" t="s">
        <v>62</v>
      </c>
      <c r="M185" s="2" t="s">
        <v>22</v>
      </c>
      <c r="N185" s="2" t="s">
        <v>77</v>
      </c>
    </row>
    <row r="186" spans="1:14">
      <c r="A186" s="2" t="s">
        <v>409</v>
      </c>
      <c r="B186" s="2" t="s">
        <v>135</v>
      </c>
      <c r="C186" s="2" t="s">
        <v>148</v>
      </c>
      <c r="D186" s="2" t="s">
        <v>98</v>
      </c>
      <c r="E186" s="2" t="s">
        <v>267</v>
      </c>
      <c r="F186" s="2" t="s">
        <v>142</v>
      </c>
      <c r="G186" s="2" t="s">
        <v>143</v>
      </c>
      <c r="H186" s="2">
        <v>1</v>
      </c>
      <c r="I186" s="3">
        <v>18900000</v>
      </c>
      <c r="J186" s="3">
        <v>0</v>
      </c>
      <c r="K186" s="3">
        <v>18900000</v>
      </c>
      <c r="L186" s="2" t="s">
        <v>46</v>
      </c>
      <c r="M186" s="2" t="s">
        <v>22</v>
      </c>
      <c r="N186" s="2" t="s">
        <v>30</v>
      </c>
    </row>
    <row r="187" spans="1:14">
      <c r="A187" s="2" t="s">
        <v>410</v>
      </c>
      <c r="B187" s="2" t="s">
        <v>15</v>
      </c>
      <c r="C187" s="2" t="s">
        <v>112</v>
      </c>
      <c r="D187" s="2" t="s">
        <v>94</v>
      </c>
      <c r="E187" s="2" t="s">
        <v>202</v>
      </c>
      <c r="F187" s="2" t="s">
        <v>99</v>
      </c>
      <c r="G187" s="2" t="s">
        <v>100</v>
      </c>
      <c r="H187" s="2">
        <v>1</v>
      </c>
      <c r="I187" s="3">
        <v>29800000</v>
      </c>
      <c r="J187" s="3">
        <v>894000</v>
      </c>
      <c r="K187" s="3">
        <v>28906000</v>
      </c>
      <c r="L187" s="2" t="s">
        <v>29</v>
      </c>
      <c r="M187" s="2" t="s">
        <v>22</v>
      </c>
      <c r="N187" s="2" t="s">
        <v>30</v>
      </c>
    </row>
    <row r="188" spans="1:14">
      <c r="A188" s="2" t="s">
        <v>411</v>
      </c>
      <c r="B188" s="2" t="s">
        <v>15</v>
      </c>
      <c r="C188" s="2" t="s">
        <v>182</v>
      </c>
      <c r="D188" s="2" t="s">
        <v>54</v>
      </c>
      <c r="E188" s="2" t="s">
        <v>273</v>
      </c>
      <c r="F188" s="2" t="s">
        <v>142</v>
      </c>
      <c r="G188" s="2" t="s">
        <v>143</v>
      </c>
      <c r="H188" s="2">
        <v>1</v>
      </c>
      <c r="I188" s="3">
        <v>18900000</v>
      </c>
      <c r="J188" s="3">
        <v>945000</v>
      </c>
      <c r="K188" s="3">
        <v>17955000</v>
      </c>
      <c r="L188" s="2" t="s">
        <v>46</v>
      </c>
      <c r="M188" s="2" t="s">
        <v>22</v>
      </c>
      <c r="N188" s="2" t="s">
        <v>77</v>
      </c>
    </row>
    <row r="189" spans="1:14">
      <c r="A189" s="2" t="s">
        <v>412</v>
      </c>
      <c r="B189" s="2" t="s">
        <v>41</v>
      </c>
      <c r="C189" s="2" t="s">
        <v>16</v>
      </c>
      <c r="D189" s="2" t="s">
        <v>42</v>
      </c>
      <c r="E189" s="2" t="s">
        <v>245</v>
      </c>
      <c r="F189" s="2" t="s">
        <v>60</v>
      </c>
      <c r="G189" s="2" t="s">
        <v>61</v>
      </c>
      <c r="H189" s="2">
        <v>2</v>
      </c>
      <c r="I189" s="3">
        <v>21500000</v>
      </c>
      <c r="J189" s="3">
        <v>1290000</v>
      </c>
      <c r="K189" s="3">
        <v>41710000</v>
      </c>
      <c r="L189" s="2" t="s">
        <v>46</v>
      </c>
      <c r="M189" s="2" t="s">
        <v>22</v>
      </c>
      <c r="N189" s="2" t="s">
        <v>30</v>
      </c>
    </row>
    <row r="190" spans="1:14">
      <c r="A190" s="2" t="s">
        <v>413</v>
      </c>
      <c r="B190" s="2" t="s">
        <v>64</v>
      </c>
      <c r="C190" s="2" t="s">
        <v>85</v>
      </c>
      <c r="D190" s="2" t="s">
        <v>126</v>
      </c>
      <c r="E190" s="2" t="s">
        <v>209</v>
      </c>
      <c r="F190" s="2" t="s">
        <v>68</v>
      </c>
      <c r="G190" s="2" t="s">
        <v>69</v>
      </c>
      <c r="H190" s="2">
        <v>1</v>
      </c>
      <c r="I190" s="3">
        <v>17800000</v>
      </c>
      <c r="J190" s="3">
        <v>178000</v>
      </c>
      <c r="K190" s="3">
        <v>17622000</v>
      </c>
      <c r="L190" s="2" t="s">
        <v>21</v>
      </c>
      <c r="M190" s="2" t="s">
        <v>87</v>
      </c>
      <c r="N190" s="2" t="s">
        <v>77</v>
      </c>
    </row>
    <row r="191" spans="1:14">
      <c r="A191" s="2" t="s">
        <v>414</v>
      </c>
      <c r="B191" s="2" t="s">
        <v>102</v>
      </c>
      <c r="C191" s="2" t="s">
        <v>26</v>
      </c>
      <c r="D191" s="2" t="s">
        <v>145</v>
      </c>
      <c r="E191" s="2" t="s">
        <v>18</v>
      </c>
      <c r="F191" s="2" t="s">
        <v>19</v>
      </c>
      <c r="G191" s="2" t="s">
        <v>20</v>
      </c>
      <c r="H191" s="2">
        <v>2</v>
      </c>
      <c r="I191" s="3">
        <v>33500000</v>
      </c>
      <c r="J191" s="3">
        <v>2010000</v>
      </c>
      <c r="K191" s="3">
        <v>64990000</v>
      </c>
      <c r="L191" s="2" t="s">
        <v>38</v>
      </c>
      <c r="M191" s="2" t="s">
        <v>22</v>
      </c>
      <c r="N191" s="2" t="s">
        <v>30</v>
      </c>
    </row>
    <row r="192" spans="1:14">
      <c r="A192" s="2" t="s">
        <v>415</v>
      </c>
      <c r="B192" s="2" t="s">
        <v>125</v>
      </c>
      <c r="C192" s="2" t="s">
        <v>85</v>
      </c>
      <c r="D192" s="2" t="s">
        <v>130</v>
      </c>
      <c r="E192" s="2" t="s">
        <v>223</v>
      </c>
      <c r="F192" s="2" t="s">
        <v>60</v>
      </c>
      <c r="G192" s="2" t="s">
        <v>61</v>
      </c>
      <c r="H192" s="2">
        <v>1</v>
      </c>
      <c r="I192" s="3">
        <v>21500000</v>
      </c>
      <c r="J192" s="3">
        <v>0</v>
      </c>
      <c r="K192" s="3">
        <v>21500000</v>
      </c>
      <c r="L192" s="2" t="s">
        <v>46</v>
      </c>
      <c r="M192" s="2" t="s">
        <v>22</v>
      </c>
      <c r="N192" s="2" t="s">
        <v>23</v>
      </c>
    </row>
    <row r="193" spans="1:14">
      <c r="A193" s="2" t="s">
        <v>416</v>
      </c>
      <c r="B193" s="2" t="s">
        <v>25</v>
      </c>
      <c r="C193" s="2" t="s">
        <v>48</v>
      </c>
      <c r="D193" s="2" t="s">
        <v>201</v>
      </c>
      <c r="E193" s="2" t="s">
        <v>236</v>
      </c>
      <c r="F193" s="2" t="s">
        <v>60</v>
      </c>
      <c r="G193" s="2" t="s">
        <v>61</v>
      </c>
      <c r="H193" s="2">
        <v>1</v>
      </c>
      <c r="I193" s="3">
        <v>21500000</v>
      </c>
      <c r="J193" s="3">
        <v>1075000</v>
      </c>
      <c r="K193" s="3">
        <v>20425000</v>
      </c>
      <c r="L193" s="2" t="s">
        <v>29</v>
      </c>
      <c r="M193" s="2" t="s">
        <v>22</v>
      </c>
      <c r="N193" s="2" t="s">
        <v>30</v>
      </c>
    </row>
    <row r="194" spans="1:14">
      <c r="A194" s="2" t="s">
        <v>417</v>
      </c>
      <c r="B194" s="2" t="s">
        <v>32</v>
      </c>
      <c r="C194" s="2" t="s">
        <v>85</v>
      </c>
      <c r="D194" s="2" t="s">
        <v>113</v>
      </c>
      <c r="E194" s="2" t="s">
        <v>418</v>
      </c>
      <c r="F194" s="2" t="s">
        <v>19</v>
      </c>
      <c r="G194" s="2" t="s">
        <v>20</v>
      </c>
      <c r="H194" s="2">
        <v>1</v>
      </c>
      <c r="I194" s="3">
        <v>33500000</v>
      </c>
      <c r="J194" s="3">
        <v>335000</v>
      </c>
      <c r="K194" s="3">
        <v>33165000</v>
      </c>
      <c r="L194" s="2" t="s">
        <v>38</v>
      </c>
      <c r="M194" s="2" t="s">
        <v>22</v>
      </c>
      <c r="N194" s="2" t="s">
        <v>77</v>
      </c>
    </row>
    <row r="195" spans="1:14">
      <c r="A195" s="2" t="s">
        <v>419</v>
      </c>
      <c r="B195" s="2" t="s">
        <v>108</v>
      </c>
      <c r="C195" s="2" t="s">
        <v>148</v>
      </c>
      <c r="D195" s="2" t="s">
        <v>201</v>
      </c>
      <c r="E195" s="2" t="s">
        <v>265</v>
      </c>
      <c r="F195" s="2" t="s">
        <v>152</v>
      </c>
      <c r="G195" s="2" t="s">
        <v>153</v>
      </c>
      <c r="H195" s="2">
        <v>1</v>
      </c>
      <c r="I195" s="3">
        <v>27400000</v>
      </c>
      <c r="J195" s="3">
        <v>0</v>
      </c>
      <c r="K195" s="3">
        <v>27400000</v>
      </c>
      <c r="L195" s="2" t="s">
        <v>62</v>
      </c>
      <c r="M195" s="2" t="s">
        <v>22</v>
      </c>
      <c r="N195" s="2" t="s">
        <v>23</v>
      </c>
    </row>
    <row r="196" spans="1:14">
      <c r="A196" s="2" t="s">
        <v>420</v>
      </c>
      <c r="B196" s="2" t="s">
        <v>41</v>
      </c>
      <c r="C196" s="2" t="s">
        <v>148</v>
      </c>
      <c r="D196" s="2" t="s">
        <v>42</v>
      </c>
      <c r="E196" s="2" t="s">
        <v>165</v>
      </c>
      <c r="F196" s="2" t="s">
        <v>19</v>
      </c>
      <c r="G196" s="2" t="s">
        <v>20</v>
      </c>
      <c r="H196" s="2">
        <v>1</v>
      </c>
      <c r="I196" s="3">
        <v>33500000</v>
      </c>
      <c r="J196" s="3">
        <v>335000</v>
      </c>
      <c r="K196" s="3">
        <v>33165000</v>
      </c>
      <c r="L196" s="2" t="s">
        <v>21</v>
      </c>
      <c r="M196" s="2" t="s">
        <v>22</v>
      </c>
      <c r="N196" s="2" t="s">
        <v>23</v>
      </c>
    </row>
    <row r="197" spans="1:14">
      <c r="A197" s="2" t="s">
        <v>421</v>
      </c>
      <c r="B197" s="2" t="s">
        <v>140</v>
      </c>
      <c r="C197" s="2" t="s">
        <v>148</v>
      </c>
      <c r="D197" s="2" t="s">
        <v>27</v>
      </c>
      <c r="E197" s="2" t="s">
        <v>240</v>
      </c>
      <c r="F197" s="2" t="s">
        <v>19</v>
      </c>
      <c r="G197" s="2" t="s">
        <v>20</v>
      </c>
      <c r="H197" s="2">
        <v>1</v>
      </c>
      <c r="I197" s="3">
        <v>33500000</v>
      </c>
      <c r="J197" s="3">
        <v>335000</v>
      </c>
      <c r="K197" s="3">
        <v>33165000</v>
      </c>
      <c r="L197" s="2" t="s">
        <v>46</v>
      </c>
      <c r="M197" s="2" t="s">
        <v>22</v>
      </c>
      <c r="N197" s="2" t="s">
        <v>23</v>
      </c>
    </row>
    <row r="198" spans="1:14">
      <c r="A198" s="2" t="s">
        <v>422</v>
      </c>
      <c r="B198" s="2" t="s">
        <v>135</v>
      </c>
      <c r="C198" s="2" t="s">
        <v>212</v>
      </c>
      <c r="D198" s="2" t="s">
        <v>49</v>
      </c>
      <c r="E198" s="2" t="s">
        <v>423</v>
      </c>
      <c r="F198" s="2" t="s">
        <v>44</v>
      </c>
      <c r="G198" s="2" t="s">
        <v>45</v>
      </c>
      <c r="H198" s="2">
        <v>1</v>
      </c>
      <c r="I198" s="3">
        <v>24600000</v>
      </c>
      <c r="J198" s="3">
        <v>738000</v>
      </c>
      <c r="K198" s="3">
        <v>23862000</v>
      </c>
      <c r="L198" s="2" t="s">
        <v>38</v>
      </c>
      <c r="M198" s="2" t="s">
        <v>22</v>
      </c>
      <c r="N198" s="2" t="s">
        <v>77</v>
      </c>
    </row>
    <row r="199" spans="1:14">
      <c r="A199" s="2" t="s">
        <v>424</v>
      </c>
      <c r="B199" s="2" t="s">
        <v>167</v>
      </c>
      <c r="C199" s="2" t="s">
        <v>425</v>
      </c>
      <c r="D199" s="2" t="s">
        <v>27</v>
      </c>
      <c r="E199" s="2" t="s">
        <v>341</v>
      </c>
      <c r="F199" s="2" t="s">
        <v>19</v>
      </c>
      <c r="G199" s="2" t="s">
        <v>20</v>
      </c>
      <c r="H199" s="2">
        <v>1</v>
      </c>
      <c r="I199" s="3">
        <v>33500000</v>
      </c>
      <c r="J199" s="3">
        <v>1005000</v>
      </c>
      <c r="K199" s="3">
        <v>0</v>
      </c>
      <c r="L199" s="2" t="s">
        <v>29</v>
      </c>
      <c r="M199" s="2" t="s">
        <v>22</v>
      </c>
      <c r="N199" s="2" t="s">
        <v>77</v>
      </c>
    </row>
    <row r="200" spans="1:14">
      <c r="A200" s="2" t="s">
        <v>426</v>
      </c>
      <c r="B200" s="2" t="s">
        <v>108</v>
      </c>
      <c r="C200" s="2" t="s">
        <v>16</v>
      </c>
      <c r="D200" s="2" t="s">
        <v>27</v>
      </c>
      <c r="E200" s="2" t="s">
        <v>103</v>
      </c>
      <c r="F200" s="2" t="s">
        <v>36</v>
      </c>
      <c r="G200" s="2" t="s">
        <v>37</v>
      </c>
      <c r="H200" s="2">
        <v>1</v>
      </c>
      <c r="I200" s="3">
        <v>22300000</v>
      </c>
      <c r="J200" s="3">
        <v>0</v>
      </c>
      <c r="K200" s="3">
        <v>22300000</v>
      </c>
      <c r="L200" s="2" t="s">
        <v>29</v>
      </c>
      <c r="M200" s="2" t="s">
        <v>22</v>
      </c>
      <c r="N200" s="2" t="s">
        <v>30</v>
      </c>
    </row>
    <row r="201" spans="1:14">
      <c r="A201" s="2" t="s">
        <v>107</v>
      </c>
      <c r="B201" s="2" t="s">
        <v>108</v>
      </c>
      <c r="C201" s="2" t="s">
        <v>97</v>
      </c>
      <c r="D201" s="2" t="s">
        <v>42</v>
      </c>
      <c r="E201" s="2" t="s">
        <v>109</v>
      </c>
      <c r="F201" s="2" t="s">
        <v>60</v>
      </c>
      <c r="G201" s="2" t="s">
        <v>61</v>
      </c>
      <c r="H201" s="2">
        <v>1</v>
      </c>
      <c r="I201" s="3">
        <v>21500000</v>
      </c>
      <c r="J201" s="3">
        <v>215000</v>
      </c>
      <c r="K201" s="3">
        <v>21285000</v>
      </c>
      <c r="L201" s="2" t="s">
        <v>38</v>
      </c>
      <c r="M201" s="2" t="s">
        <v>22</v>
      </c>
      <c r="N201" s="2" t="s">
        <v>77</v>
      </c>
    </row>
    <row r="202" spans="1:14">
      <c r="A202" s="2" t="s">
        <v>427</v>
      </c>
      <c r="B202" s="2" t="s">
        <v>111</v>
      </c>
      <c r="C202" s="2" t="s">
        <v>182</v>
      </c>
      <c r="D202" s="2" t="s">
        <v>34</v>
      </c>
      <c r="E202" s="2" t="s">
        <v>428</v>
      </c>
      <c r="F202" s="2" t="s">
        <v>19</v>
      </c>
      <c r="G202" s="2" t="s">
        <v>20</v>
      </c>
      <c r="H202" s="2">
        <v>1</v>
      </c>
      <c r="I202" s="3">
        <v>33500000</v>
      </c>
      <c r="J202" s="3">
        <v>1675000</v>
      </c>
      <c r="K202" s="3">
        <v>31825000</v>
      </c>
      <c r="L202" s="2" t="s">
        <v>62</v>
      </c>
      <c r="M202" s="2" t="s">
        <v>22</v>
      </c>
      <c r="N202" s="2" t="s">
        <v>39</v>
      </c>
    </row>
    <row r="203" spans="1:14">
      <c r="A203" s="2" t="s">
        <v>429</v>
      </c>
      <c r="B203" s="2" t="s">
        <v>15</v>
      </c>
      <c r="C203" s="2" t="s">
        <v>148</v>
      </c>
      <c r="D203" s="2" t="s">
        <v>27</v>
      </c>
      <c r="E203" s="2" t="s">
        <v>347</v>
      </c>
      <c r="F203" s="2" t="s">
        <v>152</v>
      </c>
      <c r="G203" s="2" t="s">
        <v>153</v>
      </c>
      <c r="H203" s="2">
        <v>1</v>
      </c>
      <c r="I203" s="3">
        <v>27400000</v>
      </c>
      <c r="J203" s="3">
        <v>0</v>
      </c>
      <c r="K203" s="3">
        <v>27400000</v>
      </c>
      <c r="L203" s="2" t="s">
        <v>46</v>
      </c>
      <c r="M203" s="2" t="s">
        <v>22</v>
      </c>
      <c r="N203" s="2" t="s">
        <v>77</v>
      </c>
    </row>
    <row r="204" spans="1:14">
      <c r="A204" s="2" t="s">
        <v>430</v>
      </c>
      <c r="B204" s="2" t="s">
        <v>108</v>
      </c>
      <c r="C204" s="2" t="s">
        <v>112</v>
      </c>
      <c r="D204" s="2" t="s">
        <v>58</v>
      </c>
      <c r="E204" s="2" t="s">
        <v>199</v>
      </c>
      <c r="F204" s="2" t="s">
        <v>19</v>
      </c>
      <c r="G204" s="2" t="s">
        <v>20</v>
      </c>
      <c r="H204" s="2">
        <v>1</v>
      </c>
      <c r="I204" s="3">
        <v>33500000</v>
      </c>
      <c r="J204" s="3">
        <v>0</v>
      </c>
      <c r="K204" s="3">
        <v>33500000</v>
      </c>
      <c r="L204" s="2" t="s">
        <v>46</v>
      </c>
      <c r="M204" s="2" t="s">
        <v>22</v>
      </c>
      <c r="N204" s="2" t="s">
        <v>23</v>
      </c>
    </row>
    <row r="205" spans="1:14">
      <c r="A205" s="2" t="s">
        <v>431</v>
      </c>
      <c r="B205" s="2" t="s">
        <v>57</v>
      </c>
      <c r="C205" s="2" t="s">
        <v>112</v>
      </c>
      <c r="D205" s="2" t="s">
        <v>66</v>
      </c>
      <c r="E205" s="2" t="s">
        <v>432</v>
      </c>
      <c r="F205" s="2" t="s">
        <v>44</v>
      </c>
      <c r="G205" s="2" t="s">
        <v>45</v>
      </c>
      <c r="H205" s="2">
        <v>1</v>
      </c>
      <c r="I205" s="3">
        <v>24600000</v>
      </c>
      <c r="J205" s="3">
        <v>246000</v>
      </c>
      <c r="K205" s="3">
        <v>24354000</v>
      </c>
      <c r="L205" s="2" t="s">
        <v>21</v>
      </c>
      <c r="M205" s="2" t="s">
        <v>22</v>
      </c>
      <c r="N205" s="2" t="s">
        <v>30</v>
      </c>
    </row>
    <row r="206" spans="1:14">
      <c r="A206" s="2" t="s">
        <v>433</v>
      </c>
      <c r="B206" s="2" t="s">
        <v>57</v>
      </c>
      <c r="C206" s="2" t="s">
        <v>48</v>
      </c>
      <c r="D206" s="2" t="s">
        <v>17</v>
      </c>
      <c r="E206" s="2" t="s">
        <v>280</v>
      </c>
      <c r="F206" s="2" t="s">
        <v>19</v>
      </c>
      <c r="G206" s="2" t="s">
        <v>20</v>
      </c>
      <c r="H206" s="2">
        <v>1</v>
      </c>
      <c r="I206" s="3">
        <v>33500000</v>
      </c>
      <c r="J206" s="3">
        <v>1005000</v>
      </c>
      <c r="K206" s="3">
        <v>32495000</v>
      </c>
      <c r="L206" s="2" t="s">
        <v>29</v>
      </c>
      <c r="M206" s="2" t="s">
        <v>22</v>
      </c>
      <c r="N206" s="2" t="s">
        <v>39</v>
      </c>
    </row>
    <row r="207" spans="1:14">
      <c r="A207" s="2" t="s">
        <v>434</v>
      </c>
      <c r="B207" s="2" t="s">
        <v>111</v>
      </c>
      <c r="C207" s="2" t="s">
        <v>16</v>
      </c>
      <c r="D207" s="2" t="s">
        <v>58</v>
      </c>
      <c r="E207" s="2" t="s">
        <v>236</v>
      </c>
      <c r="F207" s="2" t="s">
        <v>60</v>
      </c>
      <c r="G207" s="2" t="s">
        <v>61</v>
      </c>
      <c r="H207" s="2">
        <v>1</v>
      </c>
      <c r="I207" s="3">
        <v>21500000</v>
      </c>
      <c r="J207" s="3">
        <v>215000</v>
      </c>
      <c r="K207" s="3">
        <v>21285000</v>
      </c>
      <c r="L207" s="2" t="s">
        <v>29</v>
      </c>
      <c r="M207" s="2" t="s">
        <v>22</v>
      </c>
      <c r="N207" s="2" t="s">
        <v>23</v>
      </c>
    </row>
    <row r="208" spans="1:14">
      <c r="A208" s="2" t="s">
        <v>435</v>
      </c>
      <c r="B208" s="2" t="s">
        <v>125</v>
      </c>
      <c r="C208" s="2" t="s">
        <v>48</v>
      </c>
      <c r="D208" s="2" t="s">
        <v>58</v>
      </c>
      <c r="E208" s="2" t="s">
        <v>223</v>
      </c>
      <c r="F208" s="2" t="s">
        <v>99</v>
      </c>
      <c r="G208" s="2" t="s">
        <v>100</v>
      </c>
      <c r="H208" s="2">
        <v>1</v>
      </c>
      <c r="I208" s="3">
        <v>29800000</v>
      </c>
      <c r="J208" s="3">
        <v>596000</v>
      </c>
      <c r="K208" s="3">
        <v>29204000</v>
      </c>
      <c r="L208" s="2" t="s">
        <v>46</v>
      </c>
      <c r="M208" s="2" t="s">
        <v>22</v>
      </c>
      <c r="N208" s="2" t="s">
        <v>23</v>
      </c>
    </row>
    <row r="209" spans="1:14">
      <c r="A209" s="2" t="s">
        <v>436</v>
      </c>
      <c r="B209" s="2" t="s">
        <v>57</v>
      </c>
      <c r="C209" s="2" t="s">
        <v>16</v>
      </c>
      <c r="D209" s="2" t="s">
        <v>168</v>
      </c>
      <c r="E209" s="2" t="s">
        <v>437</v>
      </c>
      <c r="F209" s="2" t="s">
        <v>68</v>
      </c>
      <c r="G209" s="2" t="s">
        <v>69</v>
      </c>
      <c r="H209" s="2">
        <v>1</v>
      </c>
      <c r="I209" s="3">
        <v>17800000</v>
      </c>
      <c r="J209" s="3">
        <v>0</v>
      </c>
      <c r="K209" s="3">
        <v>17800000</v>
      </c>
      <c r="L209" s="2" t="s">
        <v>46</v>
      </c>
      <c r="M209" s="2" t="s">
        <v>22</v>
      </c>
      <c r="N209" s="2" t="s">
        <v>30</v>
      </c>
    </row>
    <row r="210" spans="1:14">
      <c r="A210" s="2" t="s">
        <v>348</v>
      </c>
      <c r="B210" s="2" t="s">
        <v>41</v>
      </c>
      <c r="C210" s="2" t="s">
        <v>182</v>
      </c>
      <c r="D210" s="2" t="s">
        <v>113</v>
      </c>
      <c r="E210" s="2" t="s">
        <v>349</v>
      </c>
      <c r="F210" s="2" t="s">
        <v>68</v>
      </c>
      <c r="G210" s="2" t="s">
        <v>69</v>
      </c>
      <c r="H210" s="2">
        <v>1</v>
      </c>
      <c r="I210" s="3">
        <v>17800000</v>
      </c>
      <c r="J210" s="3">
        <v>534000</v>
      </c>
      <c r="K210" s="3">
        <v>17266000</v>
      </c>
      <c r="L210" s="2" t="s">
        <v>21</v>
      </c>
      <c r="M210" s="2" t="s">
        <v>22</v>
      </c>
      <c r="N210" s="2" t="s">
        <v>30</v>
      </c>
    </row>
    <row r="211" spans="1:14">
      <c r="A211" s="2" t="s">
        <v>309</v>
      </c>
      <c r="B211" s="2" t="s">
        <v>79</v>
      </c>
      <c r="C211" s="2" t="s">
        <v>182</v>
      </c>
      <c r="D211" s="2" t="s">
        <v>80</v>
      </c>
      <c r="E211" s="2" t="s">
        <v>310</v>
      </c>
      <c r="F211" s="2" t="s">
        <v>142</v>
      </c>
      <c r="G211" s="2" t="s">
        <v>143</v>
      </c>
      <c r="H211" s="2">
        <v>1</v>
      </c>
      <c r="I211" s="3">
        <v>18900000</v>
      </c>
      <c r="J211" s="3">
        <v>567000</v>
      </c>
      <c r="K211" s="3">
        <v>18333000</v>
      </c>
      <c r="L211" s="2" t="s">
        <v>46</v>
      </c>
      <c r="M211" s="2" t="s">
        <v>22</v>
      </c>
      <c r="N211" s="2" t="s">
        <v>30</v>
      </c>
    </row>
    <row r="212" spans="1:14">
      <c r="A212" s="2" t="s">
        <v>438</v>
      </c>
      <c r="B212" s="2" t="s">
        <v>108</v>
      </c>
      <c r="C212" s="2" t="s">
        <v>26</v>
      </c>
      <c r="D212" s="2" t="s">
        <v>113</v>
      </c>
      <c r="E212" s="2" t="s">
        <v>355</v>
      </c>
      <c r="F212" s="2" t="s">
        <v>19</v>
      </c>
      <c r="G212" s="2" t="s">
        <v>20</v>
      </c>
      <c r="H212" s="2">
        <v>1</v>
      </c>
      <c r="I212" s="3">
        <v>33500000</v>
      </c>
      <c r="J212" s="3">
        <v>0</v>
      </c>
      <c r="K212" s="3">
        <v>33500000</v>
      </c>
      <c r="L212" s="2" t="s">
        <v>38</v>
      </c>
      <c r="M212" s="2" t="s">
        <v>87</v>
      </c>
      <c r="N212" s="2" t="s">
        <v>39</v>
      </c>
    </row>
    <row r="213" spans="1:14">
      <c r="A213" s="2" t="s">
        <v>439</v>
      </c>
      <c r="B213" s="2" t="s">
        <v>211</v>
      </c>
      <c r="C213" s="2" t="s">
        <v>182</v>
      </c>
      <c r="D213" s="2" t="s">
        <v>168</v>
      </c>
      <c r="E213" s="2" t="s">
        <v>202</v>
      </c>
      <c r="F213" s="2" t="s">
        <v>19</v>
      </c>
      <c r="G213" s="2" t="s">
        <v>20</v>
      </c>
      <c r="H213" s="2">
        <v>1</v>
      </c>
      <c r="I213" s="3">
        <v>33500000</v>
      </c>
      <c r="J213" s="3">
        <v>1005000</v>
      </c>
      <c r="K213" s="3">
        <v>32495000</v>
      </c>
      <c r="L213" s="2" t="s">
        <v>38</v>
      </c>
      <c r="M213" s="2" t="s">
        <v>22</v>
      </c>
      <c r="N213" s="2" t="s">
        <v>77</v>
      </c>
    </row>
    <row r="214" spans="1:14">
      <c r="A214" s="2" t="s">
        <v>440</v>
      </c>
      <c r="B214" s="2" t="s">
        <v>84</v>
      </c>
      <c r="C214" s="2" t="s">
        <v>148</v>
      </c>
      <c r="D214" s="2" t="s">
        <v>66</v>
      </c>
      <c r="E214" s="2" t="s">
        <v>441</v>
      </c>
      <c r="F214" s="2" t="s">
        <v>99</v>
      </c>
      <c r="G214" s="2" t="s">
        <v>100</v>
      </c>
      <c r="H214" s="2">
        <v>1</v>
      </c>
      <c r="I214" s="3">
        <v>29800000</v>
      </c>
      <c r="J214" s="3">
        <v>1490000</v>
      </c>
      <c r="K214" s="3">
        <v>28310000</v>
      </c>
      <c r="L214" s="2" t="s">
        <v>62</v>
      </c>
      <c r="M214" s="2" t="s">
        <v>22</v>
      </c>
      <c r="N214" s="2" t="s">
        <v>23</v>
      </c>
    </row>
    <row r="215" spans="1:14">
      <c r="A215" s="2" t="s">
        <v>442</v>
      </c>
      <c r="B215" s="2" t="s">
        <v>108</v>
      </c>
      <c r="C215" s="2" t="s">
        <v>148</v>
      </c>
      <c r="D215" s="2" t="s">
        <v>113</v>
      </c>
      <c r="E215" s="2" t="s">
        <v>178</v>
      </c>
      <c r="F215" s="2" t="s">
        <v>99</v>
      </c>
      <c r="G215" s="2" t="s">
        <v>100</v>
      </c>
      <c r="H215" s="2">
        <v>1</v>
      </c>
      <c r="I215" s="3">
        <v>29800000</v>
      </c>
      <c r="J215" s="3">
        <v>298000</v>
      </c>
      <c r="K215" s="3">
        <v>29502000</v>
      </c>
      <c r="L215" s="2" t="s">
        <v>29</v>
      </c>
      <c r="M215" s="2" t="s">
        <v>22</v>
      </c>
      <c r="N215" s="2" t="s">
        <v>77</v>
      </c>
    </row>
    <row r="216" spans="1:14">
      <c r="A216" s="2" t="s">
        <v>443</v>
      </c>
      <c r="B216" s="2" t="s">
        <v>125</v>
      </c>
      <c r="C216" s="2" t="s">
        <v>97</v>
      </c>
      <c r="D216" s="2" t="s">
        <v>145</v>
      </c>
      <c r="E216" s="2" t="s">
        <v>444</v>
      </c>
      <c r="F216" s="2" t="s">
        <v>36</v>
      </c>
      <c r="G216" s="2" t="s">
        <v>37</v>
      </c>
      <c r="H216" s="2">
        <v>1</v>
      </c>
      <c r="I216" s="3">
        <v>22300000</v>
      </c>
      <c r="J216" s="3">
        <v>1115000</v>
      </c>
      <c r="K216" s="3">
        <v>21185000</v>
      </c>
      <c r="L216" s="2" t="s">
        <v>38</v>
      </c>
      <c r="M216" s="2" t="s">
        <v>22</v>
      </c>
      <c r="N216" s="2" t="s">
        <v>77</v>
      </c>
    </row>
    <row r="217" spans="1:14">
      <c r="A217" s="2" t="s">
        <v>445</v>
      </c>
      <c r="B217" s="2" t="s">
        <v>125</v>
      </c>
      <c r="C217" s="2" t="s">
        <v>71</v>
      </c>
      <c r="D217" s="2" t="s">
        <v>242</v>
      </c>
      <c r="E217" s="2" t="s">
        <v>138</v>
      </c>
      <c r="F217" s="2" t="s">
        <v>91</v>
      </c>
      <c r="G217" s="2" t="s">
        <v>92</v>
      </c>
      <c r="H217" s="2">
        <v>2</v>
      </c>
      <c r="I217" s="3">
        <v>26900000</v>
      </c>
      <c r="J217" s="3">
        <v>538000</v>
      </c>
      <c r="K217" s="3">
        <v>53262000</v>
      </c>
      <c r="L217" s="2" t="s">
        <v>29</v>
      </c>
      <c r="M217" s="2" t="s">
        <v>22</v>
      </c>
      <c r="N217" s="2" t="s">
        <v>23</v>
      </c>
    </row>
    <row r="218" spans="1:14">
      <c r="A218" s="2" t="s">
        <v>446</v>
      </c>
      <c r="B218" s="2" t="s">
        <v>32</v>
      </c>
      <c r="C218" s="2" t="s">
        <v>85</v>
      </c>
      <c r="D218" s="2" t="s">
        <v>113</v>
      </c>
      <c r="E218" s="2" t="s">
        <v>437</v>
      </c>
      <c r="F218" s="2" t="s">
        <v>142</v>
      </c>
      <c r="G218" s="2" t="s">
        <v>143</v>
      </c>
      <c r="H218" s="2">
        <v>1</v>
      </c>
      <c r="I218" s="3">
        <v>18900000</v>
      </c>
      <c r="J218" s="3">
        <v>567000</v>
      </c>
      <c r="K218" s="3">
        <v>18333000</v>
      </c>
      <c r="L218" s="2" t="s">
        <v>38</v>
      </c>
      <c r="M218" s="2" t="s">
        <v>22</v>
      </c>
      <c r="N218" s="2" t="s">
        <v>39</v>
      </c>
    </row>
    <row r="219" spans="1:14">
      <c r="A219" s="2" t="s">
        <v>447</v>
      </c>
      <c r="B219" s="2" t="s">
        <v>140</v>
      </c>
      <c r="C219" s="2" t="s">
        <v>71</v>
      </c>
      <c r="D219" s="2" t="s">
        <v>126</v>
      </c>
      <c r="E219" s="2" t="s">
        <v>448</v>
      </c>
      <c r="F219" s="2" t="s">
        <v>19</v>
      </c>
      <c r="G219" s="2" t="s">
        <v>20</v>
      </c>
      <c r="H219" s="2">
        <v>1</v>
      </c>
      <c r="I219" s="3">
        <v>33500000</v>
      </c>
      <c r="J219" s="3">
        <v>1675000</v>
      </c>
      <c r="K219" s="3">
        <v>31825000</v>
      </c>
      <c r="L219" s="2" t="s">
        <v>29</v>
      </c>
      <c r="M219" s="2" t="s">
        <v>22</v>
      </c>
      <c r="N219" s="2" t="s">
        <v>77</v>
      </c>
    </row>
    <row r="220" spans="1:14">
      <c r="A220" s="2" t="s">
        <v>449</v>
      </c>
      <c r="B220" s="2" t="s">
        <v>15</v>
      </c>
      <c r="C220" s="2" t="s">
        <v>182</v>
      </c>
      <c r="D220" s="2" t="s">
        <v>130</v>
      </c>
      <c r="E220" s="2" t="s">
        <v>450</v>
      </c>
      <c r="F220" s="2" t="s">
        <v>152</v>
      </c>
      <c r="G220" s="2" t="s">
        <v>153</v>
      </c>
      <c r="H220" s="2">
        <v>1</v>
      </c>
      <c r="I220" s="3">
        <v>27400000</v>
      </c>
      <c r="J220" s="3">
        <v>548000</v>
      </c>
      <c r="K220" s="3">
        <v>26852000</v>
      </c>
      <c r="L220" s="2" t="s">
        <v>29</v>
      </c>
      <c r="M220" s="2" t="s">
        <v>22</v>
      </c>
      <c r="N220" s="2" t="s">
        <v>30</v>
      </c>
    </row>
    <row r="221" spans="1:14">
      <c r="A221" s="2" t="s">
        <v>451</v>
      </c>
      <c r="B221" s="2" t="s">
        <v>125</v>
      </c>
      <c r="C221" s="2" t="s">
        <v>112</v>
      </c>
      <c r="D221" s="2" t="s">
        <v>80</v>
      </c>
      <c r="E221" s="2" t="s">
        <v>273</v>
      </c>
      <c r="F221" s="2" t="s">
        <v>68</v>
      </c>
      <c r="G221" s="2" t="s">
        <v>69</v>
      </c>
      <c r="H221" s="2">
        <v>1</v>
      </c>
      <c r="I221" s="3">
        <v>17800000</v>
      </c>
      <c r="J221" s="3">
        <v>0</v>
      </c>
      <c r="K221" s="3">
        <v>17800000</v>
      </c>
      <c r="L221" s="2" t="s">
        <v>29</v>
      </c>
      <c r="M221" s="2" t="s">
        <v>22</v>
      </c>
      <c r="N221" s="2" t="s">
        <v>23</v>
      </c>
    </row>
    <row r="222" spans="1:14">
      <c r="A222" s="2" t="s">
        <v>452</v>
      </c>
      <c r="B222" s="2" t="s">
        <v>167</v>
      </c>
      <c r="C222" s="2" t="s">
        <v>65</v>
      </c>
      <c r="D222" s="2" t="s">
        <v>201</v>
      </c>
      <c r="E222" s="2" t="s">
        <v>238</v>
      </c>
      <c r="F222" s="2" t="s">
        <v>44</v>
      </c>
      <c r="G222" s="2" t="s">
        <v>45</v>
      </c>
      <c r="H222" s="2">
        <v>1</v>
      </c>
      <c r="I222" s="3">
        <v>24600000</v>
      </c>
      <c r="J222" s="3">
        <v>738000</v>
      </c>
      <c r="K222" s="3">
        <v>23862000</v>
      </c>
      <c r="L222" s="2" t="s">
        <v>62</v>
      </c>
      <c r="M222" s="2" t="s">
        <v>22</v>
      </c>
      <c r="N222" s="2" t="s">
        <v>23</v>
      </c>
    </row>
    <row r="223" spans="1:14">
      <c r="A223" s="2" t="s">
        <v>453</v>
      </c>
      <c r="B223" s="2" t="s">
        <v>25</v>
      </c>
      <c r="C223" s="2" t="s">
        <v>26</v>
      </c>
      <c r="D223" s="2" t="s">
        <v>98</v>
      </c>
      <c r="E223" s="2" t="s">
        <v>454</v>
      </c>
      <c r="F223" s="2" t="s">
        <v>142</v>
      </c>
      <c r="G223" s="2" t="s">
        <v>143</v>
      </c>
      <c r="H223" s="2">
        <v>1</v>
      </c>
      <c r="I223" s="3">
        <v>18900000</v>
      </c>
      <c r="J223" s="3">
        <v>378000</v>
      </c>
      <c r="K223" s="3">
        <v>18522000</v>
      </c>
      <c r="L223" s="2" t="s">
        <v>29</v>
      </c>
      <c r="M223" s="2" t="s">
        <v>22</v>
      </c>
      <c r="N223" s="2" t="s">
        <v>77</v>
      </c>
    </row>
    <row r="224" spans="1:14">
      <c r="A224" s="2" t="s">
        <v>455</v>
      </c>
      <c r="B224" s="2" t="s">
        <v>211</v>
      </c>
      <c r="C224" s="2" t="s">
        <v>155</v>
      </c>
      <c r="D224" s="2" t="s">
        <v>113</v>
      </c>
      <c r="E224" s="2" t="s">
        <v>127</v>
      </c>
      <c r="F224" s="2" t="s">
        <v>44</v>
      </c>
      <c r="G224" s="2" t="s">
        <v>45</v>
      </c>
      <c r="H224" s="2">
        <v>1</v>
      </c>
      <c r="I224" s="3">
        <v>24600000</v>
      </c>
      <c r="J224" s="3">
        <v>0</v>
      </c>
      <c r="K224" s="3">
        <v>24600000</v>
      </c>
      <c r="L224" s="2" t="s">
        <v>38</v>
      </c>
      <c r="M224" s="2" t="s">
        <v>22</v>
      </c>
      <c r="N224" s="2" t="s">
        <v>77</v>
      </c>
    </row>
    <row r="225" spans="1:14">
      <c r="A225" s="2" t="s">
        <v>456</v>
      </c>
      <c r="B225" s="2" t="s">
        <v>122</v>
      </c>
      <c r="C225" s="2" t="s">
        <v>33</v>
      </c>
      <c r="D225" s="2" t="s">
        <v>168</v>
      </c>
      <c r="E225" s="2" t="s">
        <v>81</v>
      </c>
      <c r="F225" s="2" t="s">
        <v>19</v>
      </c>
      <c r="G225" s="2" t="s">
        <v>20</v>
      </c>
      <c r="H225" s="2">
        <v>1</v>
      </c>
      <c r="I225" s="3">
        <v>33500000</v>
      </c>
      <c r="J225" s="3">
        <v>0</v>
      </c>
      <c r="K225" s="3">
        <v>33500000</v>
      </c>
      <c r="L225" s="2" t="s">
        <v>21</v>
      </c>
      <c r="M225" s="2" t="s">
        <v>82</v>
      </c>
      <c r="N225" s="2" t="s">
        <v>30</v>
      </c>
    </row>
    <row r="226" spans="1:14">
      <c r="A226" s="2" t="s">
        <v>457</v>
      </c>
      <c r="B226" s="2" t="s">
        <v>122</v>
      </c>
      <c r="C226" s="2" t="s">
        <v>16</v>
      </c>
      <c r="D226" s="2" t="s">
        <v>242</v>
      </c>
      <c r="E226" s="2" t="s">
        <v>432</v>
      </c>
      <c r="F226" s="2" t="s">
        <v>99</v>
      </c>
      <c r="G226" s="2" t="s">
        <v>100</v>
      </c>
      <c r="H226" s="2">
        <v>1</v>
      </c>
      <c r="I226" s="3">
        <v>29800000</v>
      </c>
      <c r="J226" s="3">
        <v>0</v>
      </c>
      <c r="K226" s="3">
        <v>29800000</v>
      </c>
      <c r="L226" s="2" t="s">
        <v>38</v>
      </c>
      <c r="M226" s="2" t="s">
        <v>22</v>
      </c>
      <c r="N226" s="2" t="s">
        <v>30</v>
      </c>
    </row>
    <row r="227" spans="1:14">
      <c r="A227" s="2" t="s">
        <v>458</v>
      </c>
      <c r="B227" s="2" t="s">
        <v>108</v>
      </c>
      <c r="C227" s="2" t="s">
        <v>112</v>
      </c>
      <c r="D227" s="2" t="s">
        <v>75</v>
      </c>
      <c r="E227" s="2" t="s">
        <v>406</v>
      </c>
      <c r="F227" s="2" t="s">
        <v>99</v>
      </c>
      <c r="G227" s="2" t="s">
        <v>100</v>
      </c>
      <c r="H227" s="2">
        <v>1</v>
      </c>
      <c r="I227" s="3">
        <v>29800000</v>
      </c>
      <c r="J227" s="3">
        <v>596000</v>
      </c>
      <c r="K227" s="3">
        <v>29204000</v>
      </c>
      <c r="L227" s="2" t="s">
        <v>21</v>
      </c>
      <c r="M227" s="2" t="s">
        <v>22</v>
      </c>
      <c r="N227" s="2" t="s">
        <v>39</v>
      </c>
    </row>
    <row r="228" spans="1:14">
      <c r="A228" s="2" t="s">
        <v>459</v>
      </c>
      <c r="B228" s="2" t="s">
        <v>125</v>
      </c>
      <c r="C228" s="2" t="s">
        <v>48</v>
      </c>
      <c r="D228" s="2" t="s">
        <v>126</v>
      </c>
      <c r="E228" s="2" t="s">
        <v>404</v>
      </c>
      <c r="F228" s="2" t="s">
        <v>51</v>
      </c>
      <c r="G228" s="2" t="s">
        <v>52</v>
      </c>
      <c r="H228" s="2">
        <v>1</v>
      </c>
      <c r="I228" s="3">
        <v>41000000</v>
      </c>
      <c r="J228" s="3">
        <v>0</v>
      </c>
      <c r="K228" s="3">
        <v>41000000</v>
      </c>
      <c r="L228" s="2" t="s">
        <v>38</v>
      </c>
      <c r="M228" s="2" t="s">
        <v>22</v>
      </c>
      <c r="N228" s="2" t="s">
        <v>23</v>
      </c>
    </row>
    <row r="229" spans="1:14">
      <c r="A229" s="2" t="s">
        <v>460</v>
      </c>
      <c r="B229" s="2" t="s">
        <v>108</v>
      </c>
      <c r="C229" s="2" t="s">
        <v>65</v>
      </c>
      <c r="D229" s="2" t="s">
        <v>54</v>
      </c>
      <c r="E229" s="2" t="s">
        <v>461</v>
      </c>
      <c r="F229" s="2" t="s">
        <v>51</v>
      </c>
      <c r="G229" s="2" t="s">
        <v>52</v>
      </c>
      <c r="H229" s="2">
        <v>1</v>
      </c>
      <c r="I229" s="3">
        <v>41000000</v>
      </c>
      <c r="J229" s="3">
        <v>1230000</v>
      </c>
      <c r="K229" s="3">
        <v>39770000</v>
      </c>
      <c r="L229" s="2" t="s">
        <v>46</v>
      </c>
      <c r="M229" s="2" t="s">
        <v>22</v>
      </c>
      <c r="N229" s="2" t="s">
        <v>39</v>
      </c>
    </row>
    <row r="230" spans="1:14">
      <c r="A230" s="2" t="s">
        <v>462</v>
      </c>
      <c r="B230" s="2" t="s">
        <v>84</v>
      </c>
      <c r="C230" s="2" t="s">
        <v>71</v>
      </c>
      <c r="D230" s="2" t="s">
        <v>113</v>
      </c>
      <c r="E230" s="2" t="s">
        <v>372</v>
      </c>
      <c r="F230" s="2" t="s">
        <v>60</v>
      </c>
      <c r="G230" s="2" t="s">
        <v>61</v>
      </c>
      <c r="H230" s="2">
        <v>2</v>
      </c>
      <c r="I230" s="3">
        <v>21500000</v>
      </c>
      <c r="J230" s="3">
        <v>430000</v>
      </c>
      <c r="K230" s="3">
        <v>42570000</v>
      </c>
      <c r="L230" s="2" t="s">
        <v>62</v>
      </c>
      <c r="M230" s="2" t="s">
        <v>22</v>
      </c>
      <c r="N230" s="2" t="s">
        <v>77</v>
      </c>
    </row>
    <row r="231" spans="1:14">
      <c r="A231" s="2" t="s">
        <v>463</v>
      </c>
      <c r="B231" s="2" t="s">
        <v>84</v>
      </c>
      <c r="C231" s="2" t="s">
        <v>89</v>
      </c>
      <c r="D231" s="2" t="s">
        <v>113</v>
      </c>
      <c r="E231" s="2" t="s">
        <v>464</v>
      </c>
      <c r="F231" s="2" t="s">
        <v>60</v>
      </c>
      <c r="G231" s="2" t="s">
        <v>61</v>
      </c>
      <c r="H231" s="2">
        <v>1</v>
      </c>
      <c r="I231" s="3">
        <v>21500000</v>
      </c>
      <c r="J231" s="3">
        <v>215000</v>
      </c>
      <c r="K231" s="3">
        <v>21285000</v>
      </c>
      <c r="L231" s="2" t="s">
        <v>46</v>
      </c>
      <c r="M231" s="2" t="s">
        <v>22</v>
      </c>
      <c r="N231" s="2" t="s">
        <v>30</v>
      </c>
    </row>
    <row r="232" spans="1:14">
      <c r="A232" s="2" t="s">
        <v>465</v>
      </c>
      <c r="B232" s="2" t="s">
        <v>108</v>
      </c>
      <c r="C232" s="2" t="s">
        <v>16</v>
      </c>
      <c r="D232" s="2" t="s">
        <v>72</v>
      </c>
      <c r="E232" s="2" t="s">
        <v>466</v>
      </c>
      <c r="F232" s="2" t="s">
        <v>19</v>
      </c>
      <c r="G232" s="2" t="s">
        <v>20</v>
      </c>
      <c r="H232" s="2">
        <v>1</v>
      </c>
      <c r="I232" s="3">
        <v>33500000</v>
      </c>
      <c r="J232" s="3">
        <v>1005000</v>
      </c>
      <c r="K232" s="3">
        <v>32495000</v>
      </c>
      <c r="L232" s="2" t="s">
        <v>21</v>
      </c>
      <c r="M232" s="2" t="s">
        <v>22</v>
      </c>
      <c r="N232" s="2" t="s">
        <v>39</v>
      </c>
    </row>
    <row r="233" spans="1:14">
      <c r="A233" s="2" t="s">
        <v>467</v>
      </c>
      <c r="B233" s="2" t="s">
        <v>84</v>
      </c>
      <c r="C233" s="2" t="s">
        <v>85</v>
      </c>
      <c r="D233" s="2" t="s">
        <v>75</v>
      </c>
      <c r="E233" s="2" t="s">
        <v>468</v>
      </c>
      <c r="F233" s="2" t="s">
        <v>99</v>
      </c>
      <c r="G233" s="2" t="s">
        <v>100</v>
      </c>
      <c r="H233" s="2">
        <v>1</v>
      </c>
      <c r="I233" s="3">
        <v>29800000</v>
      </c>
      <c r="J233" s="3">
        <v>596000</v>
      </c>
      <c r="K233" s="3">
        <v>29204000</v>
      </c>
      <c r="L233" s="2" t="s">
        <v>62</v>
      </c>
      <c r="M233" s="2" t="s">
        <v>87</v>
      </c>
      <c r="N233" s="2" t="s">
        <v>39</v>
      </c>
    </row>
    <row r="234" spans="1:14">
      <c r="A234" s="2" t="s">
        <v>469</v>
      </c>
      <c r="B234" s="2" t="s">
        <v>84</v>
      </c>
      <c r="C234" s="2" t="s">
        <v>470</v>
      </c>
      <c r="D234" s="2" t="s">
        <v>130</v>
      </c>
      <c r="E234" s="2" t="s">
        <v>116</v>
      </c>
      <c r="F234" s="2" t="s">
        <v>99</v>
      </c>
      <c r="G234" s="2" t="s">
        <v>100</v>
      </c>
      <c r="H234" s="2">
        <v>2</v>
      </c>
      <c r="I234" s="3">
        <v>29800000</v>
      </c>
      <c r="J234" s="3">
        <v>2980000</v>
      </c>
      <c r="K234" s="3">
        <v>56620000</v>
      </c>
      <c r="L234" s="2" t="s">
        <v>21</v>
      </c>
      <c r="M234" s="2" t="s">
        <v>22</v>
      </c>
      <c r="N234" s="2" t="s">
        <v>23</v>
      </c>
    </row>
    <row r="235" spans="1:14">
      <c r="A235" s="2" t="s">
        <v>471</v>
      </c>
      <c r="B235" s="2" t="s">
        <v>140</v>
      </c>
      <c r="C235" s="2" t="s">
        <v>148</v>
      </c>
      <c r="D235" s="2" t="s">
        <v>17</v>
      </c>
      <c r="E235" s="2" t="s">
        <v>238</v>
      </c>
      <c r="F235" s="2" t="s">
        <v>19</v>
      </c>
      <c r="G235" s="2" t="s">
        <v>20</v>
      </c>
      <c r="H235" s="2">
        <v>1</v>
      </c>
      <c r="I235" s="3">
        <v>33500000</v>
      </c>
      <c r="J235" s="3">
        <v>1005000</v>
      </c>
      <c r="K235" s="3">
        <v>32495000</v>
      </c>
      <c r="L235" s="2" t="s">
        <v>21</v>
      </c>
      <c r="M235" s="2" t="s">
        <v>22</v>
      </c>
      <c r="N235" s="2" t="s">
        <v>23</v>
      </c>
    </row>
    <row r="236" spans="1:14">
      <c r="A236" s="2" t="s">
        <v>472</v>
      </c>
      <c r="B236" s="2" t="s">
        <v>189</v>
      </c>
      <c r="C236" s="2" t="s">
        <v>85</v>
      </c>
      <c r="D236" s="2" t="s">
        <v>72</v>
      </c>
      <c r="E236" s="2" t="s">
        <v>372</v>
      </c>
      <c r="F236" s="2" t="s">
        <v>19</v>
      </c>
      <c r="G236" s="2" t="s">
        <v>20</v>
      </c>
      <c r="H236" s="2">
        <v>1</v>
      </c>
      <c r="I236" s="3">
        <v>33500000</v>
      </c>
      <c r="J236" s="3">
        <v>0</v>
      </c>
      <c r="K236" s="3">
        <v>33500000</v>
      </c>
      <c r="L236" s="2" t="s">
        <v>38</v>
      </c>
      <c r="M236" s="2" t="s">
        <v>22</v>
      </c>
      <c r="N236" s="2" t="s">
        <v>23</v>
      </c>
    </row>
    <row r="237" spans="1:14">
      <c r="A237" s="2" t="s">
        <v>473</v>
      </c>
      <c r="B237" s="2" t="s">
        <v>108</v>
      </c>
      <c r="C237" s="2" t="s">
        <v>33</v>
      </c>
      <c r="D237" s="2" t="s">
        <v>27</v>
      </c>
      <c r="E237" s="2" t="s">
        <v>474</v>
      </c>
      <c r="F237" s="2" t="s">
        <v>68</v>
      </c>
      <c r="G237" s="2" t="s">
        <v>69</v>
      </c>
      <c r="H237" s="2">
        <v>1</v>
      </c>
      <c r="I237" s="3">
        <v>17800000</v>
      </c>
      <c r="J237" s="3">
        <v>890000</v>
      </c>
      <c r="K237" s="3">
        <v>16910000</v>
      </c>
      <c r="L237" s="2" t="s">
        <v>62</v>
      </c>
      <c r="M237" s="2" t="s">
        <v>22</v>
      </c>
      <c r="N237" s="2" t="s">
        <v>23</v>
      </c>
    </row>
    <row r="238" spans="1:14">
      <c r="A238" s="2" t="s">
        <v>475</v>
      </c>
      <c r="B238" s="2" t="s">
        <v>122</v>
      </c>
      <c r="C238" s="2" t="s">
        <v>16</v>
      </c>
      <c r="D238" s="2" t="s">
        <v>113</v>
      </c>
      <c r="E238" s="2" t="s">
        <v>476</v>
      </c>
      <c r="F238" s="2" t="s">
        <v>68</v>
      </c>
      <c r="G238" s="2" t="s">
        <v>69</v>
      </c>
      <c r="H238" s="2">
        <v>1</v>
      </c>
      <c r="I238" s="3">
        <v>17800000</v>
      </c>
      <c r="J238" s="3">
        <v>890000</v>
      </c>
      <c r="K238" s="3">
        <v>16910000</v>
      </c>
      <c r="L238" s="2" t="s">
        <v>46</v>
      </c>
      <c r="M238" s="2" t="s">
        <v>22</v>
      </c>
      <c r="N238" s="2" t="s">
        <v>23</v>
      </c>
    </row>
    <row r="239" spans="1:14">
      <c r="A239" s="2" t="s">
        <v>477</v>
      </c>
      <c r="B239" s="2" t="s">
        <v>189</v>
      </c>
      <c r="C239" s="2" t="s">
        <v>148</v>
      </c>
      <c r="D239" s="2" t="s">
        <v>72</v>
      </c>
      <c r="E239" s="2" t="s">
        <v>428</v>
      </c>
      <c r="F239" s="2" t="s">
        <v>60</v>
      </c>
      <c r="G239" s="2" t="s">
        <v>61</v>
      </c>
      <c r="H239" s="2">
        <v>1</v>
      </c>
      <c r="I239" s="3">
        <v>21500000</v>
      </c>
      <c r="J239" s="3">
        <v>430000</v>
      </c>
      <c r="K239" s="3">
        <v>21070000</v>
      </c>
      <c r="L239" s="2" t="s">
        <v>46</v>
      </c>
      <c r="M239" s="2" t="s">
        <v>22</v>
      </c>
      <c r="N239" s="2" t="s">
        <v>39</v>
      </c>
    </row>
    <row r="240" spans="1:14">
      <c r="A240" s="2" t="s">
        <v>478</v>
      </c>
      <c r="B240" s="2" t="s">
        <v>84</v>
      </c>
      <c r="C240" s="2" t="s">
        <v>155</v>
      </c>
      <c r="D240" s="2" t="s">
        <v>145</v>
      </c>
      <c r="E240" s="2" t="s">
        <v>169</v>
      </c>
      <c r="F240" s="2" t="s">
        <v>68</v>
      </c>
      <c r="G240" s="2" t="s">
        <v>69</v>
      </c>
      <c r="H240" s="2">
        <v>1</v>
      </c>
      <c r="I240" s="3">
        <v>17800000</v>
      </c>
      <c r="J240" s="3">
        <v>890000</v>
      </c>
      <c r="K240" s="3">
        <v>16910000</v>
      </c>
      <c r="L240" s="2" t="s">
        <v>29</v>
      </c>
      <c r="M240" s="2" t="s">
        <v>82</v>
      </c>
      <c r="N240" s="2" t="s">
        <v>23</v>
      </c>
    </row>
    <row r="241" spans="1:14">
      <c r="A241" s="2" t="s">
        <v>479</v>
      </c>
      <c r="B241" s="2" t="s">
        <v>25</v>
      </c>
      <c r="C241" s="2" t="s">
        <v>26</v>
      </c>
      <c r="D241" s="2" t="s">
        <v>98</v>
      </c>
      <c r="E241" s="2" t="s">
        <v>341</v>
      </c>
      <c r="F241" s="2" t="s">
        <v>152</v>
      </c>
      <c r="G241" s="2" t="s">
        <v>153</v>
      </c>
      <c r="H241" s="2">
        <v>1</v>
      </c>
      <c r="I241" s="3">
        <v>27400000</v>
      </c>
      <c r="J241" s="3">
        <v>1370000</v>
      </c>
      <c r="K241" s="3">
        <v>26030000</v>
      </c>
      <c r="L241" s="2" t="s">
        <v>62</v>
      </c>
      <c r="M241" s="2" t="s">
        <v>22</v>
      </c>
      <c r="N241" s="2" t="s">
        <v>30</v>
      </c>
    </row>
    <row r="242" spans="1:14">
      <c r="A242" s="2" t="s">
        <v>480</v>
      </c>
      <c r="B242" s="2" t="s">
        <v>25</v>
      </c>
      <c r="C242" s="2" t="s">
        <v>155</v>
      </c>
      <c r="D242" s="2" t="s">
        <v>54</v>
      </c>
      <c r="E242" s="2" t="s">
        <v>35</v>
      </c>
      <c r="F242" s="2" t="s">
        <v>99</v>
      </c>
      <c r="G242" s="2" t="s">
        <v>100</v>
      </c>
      <c r="H242" s="2">
        <v>1</v>
      </c>
      <c r="I242" s="3">
        <v>29800000</v>
      </c>
      <c r="J242" s="3">
        <v>298000</v>
      </c>
      <c r="K242" s="3">
        <v>29502000</v>
      </c>
      <c r="L242" s="2" t="s">
        <v>29</v>
      </c>
      <c r="M242" s="2" t="s">
        <v>22</v>
      </c>
      <c r="N242" s="2" t="s">
        <v>23</v>
      </c>
    </row>
    <row r="243" spans="1:14">
      <c r="A243" s="2" t="s">
        <v>481</v>
      </c>
      <c r="B243" s="2" t="s">
        <v>125</v>
      </c>
      <c r="C243" s="2" t="s">
        <v>182</v>
      </c>
      <c r="D243" s="2" t="s">
        <v>80</v>
      </c>
      <c r="E243" s="2" t="s">
        <v>482</v>
      </c>
      <c r="F243" s="2" t="s">
        <v>19</v>
      </c>
      <c r="G243" s="2" t="s">
        <v>20</v>
      </c>
      <c r="H243" s="2">
        <v>1</v>
      </c>
      <c r="I243" s="3">
        <v>33500000</v>
      </c>
      <c r="J243" s="3">
        <v>0</v>
      </c>
      <c r="K243" s="3">
        <v>33500000</v>
      </c>
      <c r="L243" s="2" t="s">
        <v>29</v>
      </c>
      <c r="M243" s="2" t="s">
        <v>22</v>
      </c>
      <c r="N243" s="2" t="s">
        <v>30</v>
      </c>
    </row>
    <row r="244" spans="1:14">
      <c r="A244" s="2" t="s">
        <v>483</v>
      </c>
      <c r="B244" s="2" t="s">
        <v>25</v>
      </c>
      <c r="C244" s="2" t="s">
        <v>33</v>
      </c>
      <c r="D244" s="2" t="s">
        <v>34</v>
      </c>
      <c r="E244" s="2" t="s">
        <v>484</v>
      </c>
      <c r="F244" s="2" t="s">
        <v>36</v>
      </c>
      <c r="G244" s="2" t="s">
        <v>37</v>
      </c>
      <c r="H244" s="2">
        <v>1</v>
      </c>
      <c r="I244" s="3">
        <v>22300000</v>
      </c>
      <c r="J244" s="3">
        <v>1115000</v>
      </c>
      <c r="K244" s="3">
        <v>21185000</v>
      </c>
      <c r="L244" s="2" t="s">
        <v>21</v>
      </c>
      <c r="M244" s="2" t="s">
        <v>22</v>
      </c>
      <c r="N244" s="2" t="s">
        <v>39</v>
      </c>
    </row>
    <row r="245" spans="1:14">
      <c r="A245" s="2" t="s">
        <v>485</v>
      </c>
      <c r="B245" s="2" t="s">
        <v>57</v>
      </c>
      <c r="C245" s="2" t="s">
        <v>148</v>
      </c>
      <c r="D245" s="2" t="s">
        <v>113</v>
      </c>
      <c r="E245" s="2" t="s">
        <v>280</v>
      </c>
      <c r="F245" s="2" t="s">
        <v>60</v>
      </c>
      <c r="G245" s="2" t="s">
        <v>61</v>
      </c>
      <c r="H245" s="2">
        <v>1</v>
      </c>
      <c r="I245" s="3">
        <v>21500000</v>
      </c>
      <c r="J245" s="3">
        <v>215000</v>
      </c>
      <c r="K245" s="3">
        <v>21285000</v>
      </c>
      <c r="L245" s="2" t="s">
        <v>46</v>
      </c>
      <c r="M245" s="2" t="s">
        <v>22</v>
      </c>
      <c r="N245" s="2" t="s">
        <v>30</v>
      </c>
    </row>
    <row r="246" spans="1:14">
      <c r="A246" s="2" t="s">
        <v>486</v>
      </c>
      <c r="B246" s="2" t="s">
        <v>57</v>
      </c>
      <c r="C246" s="2" t="s">
        <v>155</v>
      </c>
      <c r="D246" s="2" t="s">
        <v>34</v>
      </c>
      <c r="E246" s="2" t="s">
        <v>158</v>
      </c>
      <c r="F246" s="2" t="s">
        <v>44</v>
      </c>
      <c r="G246" s="2" t="s">
        <v>45</v>
      </c>
      <c r="H246" s="2">
        <v>1</v>
      </c>
      <c r="I246" s="3">
        <v>24600000</v>
      </c>
      <c r="J246" s="3">
        <v>0</v>
      </c>
      <c r="K246" s="3">
        <v>24600000</v>
      </c>
      <c r="L246" s="2" t="s">
        <v>38</v>
      </c>
      <c r="M246" s="2" t="s">
        <v>22</v>
      </c>
      <c r="N246" s="2" t="s">
        <v>77</v>
      </c>
    </row>
    <row r="247" spans="1:14">
      <c r="A247" s="2" t="s">
        <v>487</v>
      </c>
      <c r="B247" s="2" t="s">
        <v>25</v>
      </c>
      <c r="C247" s="2" t="s">
        <v>65</v>
      </c>
      <c r="D247" s="2" t="s">
        <v>66</v>
      </c>
      <c r="E247" s="2" t="s">
        <v>336</v>
      </c>
      <c r="F247" s="2" t="s">
        <v>152</v>
      </c>
      <c r="G247" s="2" t="s">
        <v>153</v>
      </c>
      <c r="H247" s="2">
        <v>1</v>
      </c>
      <c r="I247" s="3">
        <v>27400000</v>
      </c>
      <c r="J247" s="3">
        <v>0</v>
      </c>
      <c r="K247" s="3">
        <v>27400000</v>
      </c>
      <c r="L247" s="2" t="s">
        <v>21</v>
      </c>
      <c r="M247" s="2" t="s">
        <v>22</v>
      </c>
      <c r="N247" s="2" t="s">
        <v>39</v>
      </c>
    </row>
    <row r="248" spans="1:14">
      <c r="A248" s="2" t="s">
        <v>488</v>
      </c>
      <c r="B248" s="2" t="s">
        <v>140</v>
      </c>
      <c r="C248" s="2" t="s">
        <v>65</v>
      </c>
      <c r="D248" s="2" t="s">
        <v>94</v>
      </c>
      <c r="E248" s="2" t="s">
        <v>489</v>
      </c>
      <c r="F248" s="2" t="s">
        <v>19</v>
      </c>
      <c r="G248" s="2" t="s">
        <v>20</v>
      </c>
      <c r="H248" s="2">
        <v>1</v>
      </c>
      <c r="I248" s="3">
        <v>33500000</v>
      </c>
      <c r="J248" s="3">
        <v>0</v>
      </c>
      <c r="K248" s="3">
        <v>33500000</v>
      </c>
      <c r="L248" s="2" t="s">
        <v>21</v>
      </c>
      <c r="M248" s="2" t="s">
        <v>22</v>
      </c>
      <c r="N248" s="2" t="s">
        <v>23</v>
      </c>
    </row>
    <row r="249" spans="1:14">
      <c r="A249" s="2" t="s">
        <v>490</v>
      </c>
      <c r="B249" s="2" t="s">
        <v>84</v>
      </c>
      <c r="C249" s="2" t="s">
        <v>85</v>
      </c>
      <c r="D249" s="2" t="s">
        <v>49</v>
      </c>
      <c r="E249" s="2" t="s">
        <v>448</v>
      </c>
      <c r="F249" s="2" t="s">
        <v>19</v>
      </c>
      <c r="G249" s="2" t="s">
        <v>20</v>
      </c>
      <c r="H249" s="2">
        <v>1</v>
      </c>
      <c r="I249" s="3">
        <v>33500000</v>
      </c>
      <c r="J249" s="3">
        <v>670000</v>
      </c>
      <c r="K249" s="3">
        <v>32830000</v>
      </c>
      <c r="L249" s="2" t="s">
        <v>21</v>
      </c>
      <c r="M249" s="2" t="s">
        <v>22</v>
      </c>
      <c r="N249" s="2" t="s">
        <v>39</v>
      </c>
    </row>
    <row r="250" spans="1:14">
      <c r="A250" s="2" t="s">
        <v>491</v>
      </c>
      <c r="B250" s="2" t="s">
        <v>15</v>
      </c>
      <c r="C250" s="2" t="s">
        <v>85</v>
      </c>
      <c r="D250" s="2" t="s">
        <v>94</v>
      </c>
      <c r="E250" s="2" t="s">
        <v>492</v>
      </c>
      <c r="F250" s="2" t="s">
        <v>44</v>
      </c>
      <c r="G250" s="2" t="s">
        <v>45</v>
      </c>
      <c r="H250" s="2">
        <v>1</v>
      </c>
      <c r="I250" s="3">
        <v>24600000</v>
      </c>
      <c r="J250" s="3">
        <v>0</v>
      </c>
      <c r="K250" s="3">
        <v>24600000</v>
      </c>
      <c r="L250" s="2" t="s">
        <v>29</v>
      </c>
      <c r="M250" s="2" t="s">
        <v>22</v>
      </c>
      <c r="N250" s="2" t="s">
        <v>39</v>
      </c>
    </row>
    <row r="251" spans="1:14">
      <c r="A251" s="2" t="s">
        <v>493</v>
      </c>
      <c r="B251" s="2" t="s">
        <v>84</v>
      </c>
      <c r="C251" s="2" t="s">
        <v>48</v>
      </c>
      <c r="D251" s="2" t="s">
        <v>98</v>
      </c>
      <c r="E251" s="2" t="s">
        <v>466</v>
      </c>
      <c r="F251" s="2" t="s">
        <v>60</v>
      </c>
      <c r="G251" s="2" t="s">
        <v>61</v>
      </c>
      <c r="H251" s="2">
        <v>1</v>
      </c>
      <c r="I251" s="3">
        <v>21500000</v>
      </c>
      <c r="J251" s="3">
        <v>215000</v>
      </c>
      <c r="K251" s="3">
        <v>21285000</v>
      </c>
      <c r="L251" s="2" t="s">
        <v>29</v>
      </c>
      <c r="M251" s="2" t="s">
        <v>87</v>
      </c>
      <c r="N251" s="2" t="s">
        <v>39</v>
      </c>
    </row>
    <row r="252" spans="1:14">
      <c r="A252" s="2" t="s">
        <v>494</v>
      </c>
      <c r="B252" s="2" t="s">
        <v>64</v>
      </c>
      <c r="C252" s="2" t="s">
        <v>85</v>
      </c>
      <c r="D252" s="2" t="s">
        <v>126</v>
      </c>
      <c r="E252" s="2" t="s">
        <v>495</v>
      </c>
      <c r="F252" s="2" t="s">
        <v>142</v>
      </c>
      <c r="G252" s="2" t="s">
        <v>143</v>
      </c>
      <c r="H252" s="2">
        <v>1</v>
      </c>
      <c r="I252" s="3">
        <v>18900000</v>
      </c>
      <c r="J252" s="3">
        <v>567000</v>
      </c>
      <c r="K252" s="3">
        <v>18333000</v>
      </c>
      <c r="L252" s="2" t="s">
        <v>62</v>
      </c>
      <c r="M252" s="2" t="s">
        <v>22</v>
      </c>
      <c r="N252" s="2" t="s">
        <v>30</v>
      </c>
    </row>
    <row r="253" spans="1:14">
      <c r="A253" s="2" t="s">
        <v>496</v>
      </c>
      <c r="B253" s="2" t="s">
        <v>215</v>
      </c>
      <c r="C253" s="2" t="s">
        <v>65</v>
      </c>
      <c r="D253" s="2" t="s">
        <v>49</v>
      </c>
      <c r="E253" s="2" t="s">
        <v>223</v>
      </c>
      <c r="F253" s="2" t="s">
        <v>44</v>
      </c>
      <c r="G253" s="2" t="s">
        <v>45</v>
      </c>
      <c r="H253" s="2">
        <v>2</v>
      </c>
      <c r="I253" s="3">
        <v>24600000</v>
      </c>
      <c r="J253" s="3">
        <v>1476000</v>
      </c>
      <c r="K253" s="3">
        <v>47724000</v>
      </c>
      <c r="L253" s="2" t="s">
        <v>46</v>
      </c>
      <c r="M253" s="2" t="s">
        <v>82</v>
      </c>
      <c r="N253" s="2" t="s">
        <v>30</v>
      </c>
    </row>
    <row r="254" spans="1:14">
      <c r="A254" s="2" t="s">
        <v>497</v>
      </c>
      <c r="B254" s="2" t="s">
        <v>215</v>
      </c>
      <c r="C254" s="2" t="s">
        <v>65</v>
      </c>
      <c r="D254" s="2" t="s">
        <v>98</v>
      </c>
      <c r="E254" s="2" t="s">
        <v>312</v>
      </c>
      <c r="F254" s="2" t="s">
        <v>68</v>
      </c>
      <c r="G254" s="2" t="s">
        <v>69</v>
      </c>
      <c r="H254" s="2">
        <v>1</v>
      </c>
      <c r="I254" s="3">
        <v>17800000</v>
      </c>
      <c r="J254" s="3">
        <v>534000</v>
      </c>
      <c r="K254" s="3">
        <v>17266000</v>
      </c>
      <c r="L254" s="2" t="s">
        <v>21</v>
      </c>
      <c r="M254" s="2" t="s">
        <v>22</v>
      </c>
      <c r="N254" s="2" t="s">
        <v>23</v>
      </c>
    </row>
    <row r="255" spans="1:14">
      <c r="A255" s="2" t="s">
        <v>498</v>
      </c>
      <c r="B255" s="2" t="s">
        <v>84</v>
      </c>
      <c r="C255" s="2" t="s">
        <v>155</v>
      </c>
      <c r="D255" s="2" t="s">
        <v>80</v>
      </c>
      <c r="E255" s="2" t="s">
        <v>190</v>
      </c>
      <c r="F255" s="2" t="s">
        <v>152</v>
      </c>
      <c r="G255" s="2" t="s">
        <v>153</v>
      </c>
      <c r="H255" s="2">
        <v>1</v>
      </c>
      <c r="I255" s="3">
        <v>27400000</v>
      </c>
      <c r="J255" s="3">
        <v>0</v>
      </c>
      <c r="K255" s="3">
        <v>27400000</v>
      </c>
      <c r="L255" s="2" t="s">
        <v>46</v>
      </c>
      <c r="M255" s="2" t="s">
        <v>22</v>
      </c>
      <c r="N255" s="2" t="s">
        <v>39</v>
      </c>
    </row>
    <row r="256" spans="1:14">
      <c r="A256" s="2" t="s">
        <v>499</v>
      </c>
      <c r="B256" s="2" t="s">
        <v>211</v>
      </c>
      <c r="C256" s="2" t="s">
        <v>33</v>
      </c>
      <c r="D256" s="2" t="s">
        <v>145</v>
      </c>
      <c r="E256" s="2" t="s">
        <v>269</v>
      </c>
      <c r="F256" s="2" t="s">
        <v>152</v>
      </c>
      <c r="G256" s="2" t="s">
        <v>153</v>
      </c>
      <c r="H256" s="2">
        <v>1</v>
      </c>
      <c r="I256" s="3">
        <v>27400000</v>
      </c>
      <c r="J256" s="3">
        <v>1370000</v>
      </c>
      <c r="K256" s="3">
        <v>26030000</v>
      </c>
      <c r="L256" s="2" t="s">
        <v>38</v>
      </c>
      <c r="M256" s="2" t="s">
        <v>22</v>
      </c>
      <c r="N256" s="2" t="s">
        <v>23</v>
      </c>
    </row>
    <row r="257" spans="1:14">
      <c r="A257" s="2" t="s">
        <v>500</v>
      </c>
      <c r="B257" s="2" t="s">
        <v>167</v>
      </c>
      <c r="C257" s="2" t="s">
        <v>285</v>
      </c>
      <c r="D257" s="2" t="s">
        <v>130</v>
      </c>
      <c r="E257" s="2" t="s">
        <v>194</v>
      </c>
      <c r="F257" s="2" t="s">
        <v>142</v>
      </c>
      <c r="G257" s="2" t="s">
        <v>143</v>
      </c>
      <c r="H257" s="2">
        <v>2</v>
      </c>
      <c r="I257" s="3">
        <v>18900000</v>
      </c>
      <c r="J257" s="3">
        <v>1134000</v>
      </c>
      <c r="K257" s="3">
        <v>36666000</v>
      </c>
      <c r="L257" s="2" t="s">
        <v>21</v>
      </c>
      <c r="M257" s="2" t="s">
        <v>22</v>
      </c>
      <c r="N257" s="2" t="s">
        <v>30</v>
      </c>
    </row>
    <row r="258" spans="1:14">
      <c r="A258" s="2" t="s">
        <v>501</v>
      </c>
      <c r="B258" s="2" t="s">
        <v>108</v>
      </c>
      <c r="C258" s="2" t="s">
        <v>155</v>
      </c>
      <c r="D258" s="2" t="s">
        <v>58</v>
      </c>
      <c r="E258" s="2" t="s">
        <v>59</v>
      </c>
      <c r="F258" s="2" t="s">
        <v>60</v>
      </c>
      <c r="G258" s="2" t="s">
        <v>61</v>
      </c>
      <c r="H258" s="2">
        <v>1</v>
      </c>
      <c r="I258" s="3">
        <v>21500000</v>
      </c>
      <c r="J258" s="3">
        <v>0</v>
      </c>
      <c r="K258" s="3">
        <v>21500000</v>
      </c>
      <c r="L258" s="2" t="s">
        <v>29</v>
      </c>
      <c r="M258" s="2" t="s">
        <v>22</v>
      </c>
      <c r="N258" s="2" t="s">
        <v>23</v>
      </c>
    </row>
    <row r="259" spans="1:14">
      <c r="A259" s="2" t="s">
        <v>502</v>
      </c>
      <c r="B259" s="2" t="s">
        <v>15</v>
      </c>
      <c r="C259" s="2" t="s">
        <v>182</v>
      </c>
      <c r="D259" s="2" t="s">
        <v>58</v>
      </c>
      <c r="E259" s="2" t="s">
        <v>503</v>
      </c>
      <c r="F259" s="2" t="s">
        <v>19</v>
      </c>
      <c r="G259" s="2" t="s">
        <v>20</v>
      </c>
      <c r="H259" s="2">
        <v>1</v>
      </c>
      <c r="I259" s="3">
        <v>33500000</v>
      </c>
      <c r="J259" s="3">
        <v>1675000</v>
      </c>
      <c r="K259" s="3">
        <v>31825000</v>
      </c>
      <c r="L259" s="2" t="s">
        <v>21</v>
      </c>
      <c r="M259" s="2" t="s">
        <v>22</v>
      </c>
      <c r="N259" s="2" t="s">
        <v>23</v>
      </c>
    </row>
    <row r="260" spans="1:14">
      <c r="A260" s="2" t="s">
        <v>504</v>
      </c>
      <c r="B260" s="2" t="s">
        <v>189</v>
      </c>
      <c r="C260" s="2" t="s">
        <v>155</v>
      </c>
      <c r="D260" s="2" t="s">
        <v>113</v>
      </c>
      <c r="E260" s="2" t="s">
        <v>265</v>
      </c>
      <c r="F260" s="2" t="s">
        <v>68</v>
      </c>
      <c r="G260" s="2" t="s">
        <v>69</v>
      </c>
      <c r="H260" s="2">
        <v>1</v>
      </c>
      <c r="I260" s="3">
        <v>17800000</v>
      </c>
      <c r="J260" s="3">
        <v>0</v>
      </c>
      <c r="K260" s="3">
        <v>17800000</v>
      </c>
      <c r="L260" s="2" t="s">
        <v>38</v>
      </c>
      <c r="M260" s="2" t="s">
        <v>22</v>
      </c>
      <c r="N260" s="2" t="s">
        <v>23</v>
      </c>
    </row>
    <row r="261" spans="1:14">
      <c r="A261" s="2" t="s">
        <v>505</v>
      </c>
      <c r="B261" s="2" t="s">
        <v>79</v>
      </c>
      <c r="C261" s="2" t="s">
        <v>65</v>
      </c>
      <c r="D261" s="2" t="s">
        <v>168</v>
      </c>
      <c r="E261" s="2"/>
      <c r="F261" s="2" t="s">
        <v>36</v>
      </c>
      <c r="G261" s="2" t="s">
        <v>37</v>
      </c>
      <c r="H261" s="2">
        <v>1</v>
      </c>
      <c r="I261" s="3">
        <v>22300000</v>
      </c>
      <c r="J261" s="3">
        <v>446000</v>
      </c>
      <c r="K261" s="3">
        <v>21854000</v>
      </c>
      <c r="L261" s="2" t="s">
        <v>46</v>
      </c>
      <c r="M261" s="2" t="s">
        <v>82</v>
      </c>
      <c r="N261" s="2" t="s">
        <v>30</v>
      </c>
    </row>
    <row r="262" spans="1:14">
      <c r="A262" s="2" t="s">
        <v>506</v>
      </c>
      <c r="B262" s="2" t="s">
        <v>64</v>
      </c>
      <c r="C262" s="2" t="s">
        <v>48</v>
      </c>
      <c r="D262" s="2" t="s">
        <v>27</v>
      </c>
      <c r="E262" s="2" t="s">
        <v>507</v>
      </c>
      <c r="F262" s="2" t="s">
        <v>99</v>
      </c>
      <c r="G262" s="2" t="s">
        <v>100</v>
      </c>
      <c r="H262" s="2">
        <v>1</v>
      </c>
      <c r="I262" s="3">
        <v>29800000</v>
      </c>
      <c r="J262" s="3">
        <v>894000</v>
      </c>
      <c r="K262" s="3">
        <v>28906000</v>
      </c>
      <c r="L262" s="2" t="s">
        <v>46</v>
      </c>
      <c r="M262" s="2" t="s">
        <v>22</v>
      </c>
      <c r="N262" s="2" t="s">
        <v>39</v>
      </c>
    </row>
    <row r="263" spans="1:14">
      <c r="A263" s="2" t="s">
        <v>508</v>
      </c>
      <c r="B263" s="2" t="s">
        <v>140</v>
      </c>
      <c r="C263" s="2" t="s">
        <v>33</v>
      </c>
      <c r="D263" s="2" t="s">
        <v>42</v>
      </c>
      <c r="E263" s="2" t="s">
        <v>509</v>
      </c>
      <c r="F263" s="2" t="s">
        <v>44</v>
      </c>
      <c r="G263" s="2" t="s">
        <v>45</v>
      </c>
      <c r="H263" s="2">
        <v>1</v>
      </c>
      <c r="I263" s="3">
        <v>24600000</v>
      </c>
      <c r="J263" s="3">
        <v>738000</v>
      </c>
      <c r="K263" s="3">
        <v>23862000</v>
      </c>
      <c r="L263" s="2" t="s">
        <v>21</v>
      </c>
      <c r="M263" s="2" t="s">
        <v>22</v>
      </c>
      <c r="N263" s="2" t="s">
        <v>30</v>
      </c>
    </row>
    <row r="264" spans="1:14">
      <c r="A264" s="2" t="s">
        <v>510</v>
      </c>
      <c r="B264" s="2" t="s">
        <v>15</v>
      </c>
      <c r="C264" s="2" t="s">
        <v>48</v>
      </c>
      <c r="D264" s="2" t="s">
        <v>66</v>
      </c>
      <c r="E264" s="2" t="s">
        <v>333</v>
      </c>
      <c r="F264" s="2" t="s">
        <v>19</v>
      </c>
      <c r="G264" s="2" t="s">
        <v>20</v>
      </c>
      <c r="H264" s="2">
        <v>1</v>
      </c>
      <c r="I264" s="3">
        <v>33500000</v>
      </c>
      <c r="J264" s="3">
        <v>335000</v>
      </c>
      <c r="K264" s="3">
        <v>33165000</v>
      </c>
      <c r="L264" s="2" t="s">
        <v>21</v>
      </c>
      <c r="M264" s="2" t="s">
        <v>22</v>
      </c>
      <c r="N264" s="2" t="s">
        <v>77</v>
      </c>
    </row>
    <row r="265" spans="1:14">
      <c r="A265" s="2" t="s">
        <v>511</v>
      </c>
      <c r="B265" s="2" t="s">
        <v>122</v>
      </c>
      <c r="C265" s="2" t="s">
        <v>155</v>
      </c>
      <c r="D265" s="2" t="s">
        <v>126</v>
      </c>
      <c r="E265" s="2" t="s">
        <v>512</v>
      </c>
      <c r="F265" s="2" t="s">
        <v>44</v>
      </c>
      <c r="G265" s="2" t="s">
        <v>45</v>
      </c>
      <c r="H265" s="2">
        <v>1</v>
      </c>
      <c r="I265" s="3">
        <v>24600000</v>
      </c>
      <c r="J265" s="3">
        <v>492000</v>
      </c>
      <c r="K265" s="3">
        <v>24108000</v>
      </c>
      <c r="L265" s="2" t="s">
        <v>29</v>
      </c>
      <c r="M265" s="2" t="s">
        <v>22</v>
      </c>
      <c r="N265" s="2" t="s">
        <v>23</v>
      </c>
    </row>
    <row r="266" spans="1:14">
      <c r="A266" s="2" t="s">
        <v>513</v>
      </c>
      <c r="B266" s="2" t="s">
        <v>15</v>
      </c>
      <c r="C266" s="2" t="s">
        <v>85</v>
      </c>
      <c r="D266" s="2" t="s">
        <v>49</v>
      </c>
      <c r="E266" s="2" t="s">
        <v>349</v>
      </c>
      <c r="F266" s="2" t="s">
        <v>36</v>
      </c>
      <c r="G266" s="2" t="s">
        <v>37</v>
      </c>
      <c r="H266" s="2">
        <v>1</v>
      </c>
      <c r="I266" s="3">
        <v>22300000</v>
      </c>
      <c r="J266" s="3">
        <v>0</v>
      </c>
      <c r="K266" s="3">
        <v>22300000</v>
      </c>
      <c r="L266" s="2" t="s">
        <v>21</v>
      </c>
      <c r="M266" s="2" t="s">
        <v>22</v>
      </c>
      <c r="N266" s="2" t="s">
        <v>77</v>
      </c>
    </row>
    <row r="267" spans="1:14">
      <c r="A267" s="2" t="s">
        <v>514</v>
      </c>
      <c r="B267" s="2" t="s">
        <v>102</v>
      </c>
      <c r="C267" s="2" t="s">
        <v>148</v>
      </c>
      <c r="D267" s="2" t="s">
        <v>94</v>
      </c>
      <c r="E267" s="2" t="s">
        <v>176</v>
      </c>
      <c r="F267" s="2" t="s">
        <v>99</v>
      </c>
      <c r="G267" s="2" t="s">
        <v>100</v>
      </c>
      <c r="H267" s="2">
        <v>1</v>
      </c>
      <c r="I267" s="3">
        <v>29800000</v>
      </c>
      <c r="J267" s="3">
        <v>0</v>
      </c>
      <c r="K267" s="3">
        <v>29800000</v>
      </c>
      <c r="L267" s="2" t="s">
        <v>21</v>
      </c>
      <c r="M267" s="2" t="s">
        <v>22</v>
      </c>
      <c r="N267" s="2" t="s">
        <v>23</v>
      </c>
    </row>
    <row r="268" spans="1:14">
      <c r="A268" s="2" t="s">
        <v>350</v>
      </c>
      <c r="B268" s="2" t="s">
        <v>25</v>
      </c>
      <c r="C268" s="2" t="s">
        <v>16</v>
      </c>
      <c r="D268" s="2" t="s">
        <v>126</v>
      </c>
      <c r="E268" s="2" t="s">
        <v>351</v>
      </c>
      <c r="F268" s="2" t="s">
        <v>152</v>
      </c>
      <c r="G268" s="2" t="s">
        <v>153</v>
      </c>
      <c r="H268" s="2">
        <v>1</v>
      </c>
      <c r="I268" s="3">
        <v>27400000</v>
      </c>
      <c r="J268" s="3">
        <v>0</v>
      </c>
      <c r="K268" s="3">
        <v>27400000</v>
      </c>
      <c r="L268" s="2" t="s">
        <v>29</v>
      </c>
      <c r="M268" s="2" t="s">
        <v>22</v>
      </c>
      <c r="N268" s="2" t="s">
        <v>77</v>
      </c>
    </row>
    <row r="269" spans="1:14">
      <c r="A269" s="2" t="s">
        <v>515</v>
      </c>
      <c r="B269" s="2" t="s">
        <v>135</v>
      </c>
      <c r="C269" s="2" t="s">
        <v>33</v>
      </c>
      <c r="D269" s="2" t="s">
        <v>130</v>
      </c>
      <c r="E269" s="2" t="s">
        <v>482</v>
      </c>
      <c r="F269" s="2" t="s">
        <v>68</v>
      </c>
      <c r="G269" s="2" t="s">
        <v>69</v>
      </c>
      <c r="H269" s="2">
        <v>1</v>
      </c>
      <c r="I269" s="3">
        <v>17800000</v>
      </c>
      <c r="J269" s="3">
        <v>178000</v>
      </c>
      <c r="K269" s="3">
        <v>17622000</v>
      </c>
      <c r="L269" s="2" t="s">
        <v>62</v>
      </c>
      <c r="M269" s="2" t="s">
        <v>22</v>
      </c>
      <c r="N269" s="2" t="s">
        <v>23</v>
      </c>
    </row>
    <row r="270" spans="1:14">
      <c r="A270" s="2" t="s">
        <v>516</v>
      </c>
      <c r="B270" s="2" t="s">
        <v>140</v>
      </c>
      <c r="C270" s="2" t="s">
        <v>33</v>
      </c>
      <c r="D270" s="2" t="s">
        <v>49</v>
      </c>
      <c r="E270" s="2" t="s">
        <v>517</v>
      </c>
      <c r="F270" s="2" t="s">
        <v>19</v>
      </c>
      <c r="G270" s="2" t="s">
        <v>20</v>
      </c>
      <c r="H270" s="2">
        <v>1</v>
      </c>
      <c r="I270" s="3">
        <v>33500000</v>
      </c>
      <c r="J270" s="3">
        <v>335000</v>
      </c>
      <c r="K270" s="3">
        <v>33165000</v>
      </c>
      <c r="L270" s="2" t="s">
        <v>38</v>
      </c>
      <c r="M270" s="2" t="s">
        <v>22</v>
      </c>
      <c r="N270" s="2" t="s">
        <v>77</v>
      </c>
    </row>
    <row r="271" spans="1:14">
      <c r="A271" s="2" t="s">
        <v>518</v>
      </c>
      <c r="B271" s="2" t="s">
        <v>105</v>
      </c>
      <c r="C271" s="2" t="s">
        <v>155</v>
      </c>
      <c r="D271" s="2" t="s">
        <v>42</v>
      </c>
      <c r="E271" s="2" t="s">
        <v>519</v>
      </c>
      <c r="F271" s="2" t="s">
        <v>99</v>
      </c>
      <c r="G271" s="2" t="s">
        <v>100</v>
      </c>
      <c r="H271" s="2">
        <v>1</v>
      </c>
      <c r="I271" s="3">
        <v>29800000</v>
      </c>
      <c r="J271" s="3">
        <v>298000</v>
      </c>
      <c r="K271" s="3">
        <v>29502000</v>
      </c>
      <c r="L271" s="2" t="s">
        <v>29</v>
      </c>
      <c r="M271" s="2" t="s">
        <v>22</v>
      </c>
      <c r="N271" s="2" t="s">
        <v>39</v>
      </c>
    </row>
    <row r="272" spans="1:14">
      <c r="A272" s="2" t="s">
        <v>520</v>
      </c>
      <c r="B272" s="2" t="s">
        <v>189</v>
      </c>
      <c r="C272" s="2" t="s">
        <v>182</v>
      </c>
      <c r="D272" s="2" t="s">
        <v>27</v>
      </c>
      <c r="E272" s="2" t="s">
        <v>521</v>
      </c>
      <c r="F272" s="2" t="s">
        <v>99</v>
      </c>
      <c r="G272" s="2" t="s">
        <v>100</v>
      </c>
      <c r="H272" s="2">
        <v>1</v>
      </c>
      <c r="I272" s="3">
        <v>29800000</v>
      </c>
      <c r="J272" s="3">
        <v>596000</v>
      </c>
      <c r="K272" s="3">
        <v>29204000</v>
      </c>
      <c r="L272" s="2" t="s">
        <v>21</v>
      </c>
      <c r="M272" s="2" t="s">
        <v>22</v>
      </c>
      <c r="N272" s="2" t="s">
        <v>39</v>
      </c>
    </row>
    <row r="273" spans="1:14">
      <c r="A273" s="2" t="s">
        <v>522</v>
      </c>
      <c r="B273" s="2" t="s">
        <v>108</v>
      </c>
      <c r="C273" s="2" t="s">
        <v>148</v>
      </c>
      <c r="D273" s="2" t="s">
        <v>94</v>
      </c>
      <c r="E273" s="2" t="s">
        <v>35</v>
      </c>
      <c r="F273" s="2" t="s">
        <v>36</v>
      </c>
      <c r="G273" s="2" t="s">
        <v>37</v>
      </c>
      <c r="H273" s="2">
        <v>1</v>
      </c>
      <c r="I273" s="3">
        <v>22300000</v>
      </c>
      <c r="J273" s="3">
        <v>446000</v>
      </c>
      <c r="K273" s="3">
        <v>21854000</v>
      </c>
      <c r="L273" s="2" t="s">
        <v>38</v>
      </c>
      <c r="M273" s="2" t="s">
        <v>22</v>
      </c>
      <c r="N273" s="2" t="s">
        <v>23</v>
      </c>
    </row>
    <row r="274" spans="1:14">
      <c r="A274" s="2" t="s">
        <v>523</v>
      </c>
      <c r="B274" s="2" t="s">
        <v>108</v>
      </c>
      <c r="C274" s="2" t="s">
        <v>182</v>
      </c>
      <c r="D274" s="2" t="s">
        <v>42</v>
      </c>
      <c r="E274" s="2" t="s">
        <v>423</v>
      </c>
      <c r="F274" s="2" t="s">
        <v>68</v>
      </c>
      <c r="G274" s="2" t="s">
        <v>69</v>
      </c>
      <c r="H274" s="2">
        <v>1</v>
      </c>
      <c r="I274" s="3">
        <v>17800000</v>
      </c>
      <c r="J274" s="3">
        <v>178000</v>
      </c>
      <c r="K274" s="3">
        <v>17622000</v>
      </c>
      <c r="L274" s="2" t="s">
        <v>62</v>
      </c>
      <c r="M274" s="2" t="s">
        <v>22</v>
      </c>
      <c r="N274" s="2" t="s">
        <v>23</v>
      </c>
    </row>
    <row r="275" spans="1:14">
      <c r="A275" s="2" t="s">
        <v>524</v>
      </c>
      <c r="B275" s="2" t="s">
        <v>108</v>
      </c>
      <c r="C275" s="2" t="s">
        <v>148</v>
      </c>
      <c r="D275" s="2" t="s">
        <v>75</v>
      </c>
      <c r="E275" s="2" t="s">
        <v>109</v>
      </c>
      <c r="F275" s="2" t="s">
        <v>44</v>
      </c>
      <c r="G275" s="2" t="s">
        <v>45</v>
      </c>
      <c r="H275" s="2">
        <v>1</v>
      </c>
      <c r="I275" s="3">
        <v>24600000</v>
      </c>
      <c r="J275" s="3">
        <v>738000</v>
      </c>
      <c r="K275" s="3">
        <v>23862000</v>
      </c>
      <c r="L275" s="2" t="s">
        <v>38</v>
      </c>
      <c r="M275" s="2" t="s">
        <v>22</v>
      </c>
      <c r="N275" s="2" t="s">
        <v>30</v>
      </c>
    </row>
    <row r="276" spans="1:14">
      <c r="A276" s="2" t="s">
        <v>525</v>
      </c>
      <c r="B276" s="2" t="s">
        <v>25</v>
      </c>
      <c r="C276" s="2" t="s">
        <v>48</v>
      </c>
      <c r="D276" s="2" t="s">
        <v>126</v>
      </c>
      <c r="E276" s="2" t="s">
        <v>349</v>
      </c>
      <c r="F276" s="2" t="s">
        <v>36</v>
      </c>
      <c r="G276" s="2" t="s">
        <v>37</v>
      </c>
      <c r="H276" s="2">
        <v>1</v>
      </c>
      <c r="I276" s="3">
        <v>22300000</v>
      </c>
      <c r="J276" s="3">
        <v>446000</v>
      </c>
      <c r="K276" s="3">
        <v>21854000</v>
      </c>
      <c r="L276" s="2" t="s">
        <v>62</v>
      </c>
      <c r="M276" s="2" t="s">
        <v>82</v>
      </c>
      <c r="N276" s="2" t="s">
        <v>30</v>
      </c>
    </row>
    <row r="277" spans="1:14">
      <c r="A277" s="2" t="s">
        <v>526</v>
      </c>
      <c r="B277" s="2" t="s">
        <v>135</v>
      </c>
      <c r="C277" s="2" t="s">
        <v>33</v>
      </c>
      <c r="D277" s="2" t="s">
        <v>17</v>
      </c>
      <c r="E277" s="2" t="s">
        <v>156</v>
      </c>
      <c r="F277" s="2" t="s">
        <v>19</v>
      </c>
      <c r="G277" s="2" t="s">
        <v>20</v>
      </c>
      <c r="H277" s="2">
        <v>1</v>
      </c>
      <c r="I277" s="3">
        <v>33500000</v>
      </c>
      <c r="J277" s="3">
        <v>1005000</v>
      </c>
      <c r="K277" s="3">
        <v>32495000</v>
      </c>
      <c r="L277" s="2" t="s">
        <v>21</v>
      </c>
      <c r="M277" s="2" t="s">
        <v>22</v>
      </c>
      <c r="N277" s="2" t="s">
        <v>77</v>
      </c>
    </row>
    <row r="278" spans="1:14">
      <c r="A278" s="2" t="s">
        <v>527</v>
      </c>
      <c r="B278" s="2" t="s">
        <v>79</v>
      </c>
      <c r="C278" s="2" t="s">
        <v>182</v>
      </c>
      <c r="D278" s="2" t="s">
        <v>94</v>
      </c>
      <c r="E278" s="2" t="s">
        <v>103</v>
      </c>
      <c r="F278" s="2" t="s">
        <v>44</v>
      </c>
      <c r="G278" s="2" t="s">
        <v>45</v>
      </c>
      <c r="H278" s="2">
        <v>1</v>
      </c>
      <c r="I278" s="3">
        <v>24600000</v>
      </c>
      <c r="J278" s="3">
        <v>738000</v>
      </c>
      <c r="K278" s="3">
        <v>23862000</v>
      </c>
      <c r="L278" s="2" t="s">
        <v>29</v>
      </c>
      <c r="M278" s="2" t="s">
        <v>22</v>
      </c>
      <c r="N278" s="2" t="s">
        <v>77</v>
      </c>
    </row>
    <row r="279" spans="1:14">
      <c r="A279" s="2" t="s">
        <v>528</v>
      </c>
      <c r="B279" s="2" t="s">
        <v>25</v>
      </c>
      <c r="C279" s="2" t="s">
        <v>26</v>
      </c>
      <c r="D279" s="2" t="s">
        <v>80</v>
      </c>
      <c r="E279" s="2" t="s">
        <v>529</v>
      </c>
      <c r="F279" s="2" t="s">
        <v>19</v>
      </c>
      <c r="G279" s="2" t="s">
        <v>20</v>
      </c>
      <c r="H279" s="2">
        <v>1</v>
      </c>
      <c r="I279" s="3">
        <v>33500000</v>
      </c>
      <c r="J279" s="3">
        <v>670000</v>
      </c>
      <c r="K279" s="3">
        <v>32830000</v>
      </c>
      <c r="L279" s="2" t="s">
        <v>62</v>
      </c>
      <c r="M279" s="2" t="s">
        <v>22</v>
      </c>
      <c r="N279" s="2" t="s">
        <v>77</v>
      </c>
    </row>
    <row r="280" spans="1:14">
      <c r="A280" s="2" t="s">
        <v>530</v>
      </c>
      <c r="B280" s="2" t="s">
        <v>15</v>
      </c>
      <c r="C280" s="2" t="s">
        <v>48</v>
      </c>
      <c r="D280" s="2" t="s">
        <v>98</v>
      </c>
      <c r="E280" s="2" t="s">
        <v>495</v>
      </c>
      <c r="F280" s="2" t="s">
        <v>142</v>
      </c>
      <c r="G280" s="2" t="s">
        <v>143</v>
      </c>
      <c r="H280" s="2">
        <v>1</v>
      </c>
      <c r="I280" s="3">
        <v>18900000</v>
      </c>
      <c r="J280" s="3">
        <v>0</v>
      </c>
      <c r="K280" s="3">
        <v>18900000</v>
      </c>
      <c r="L280" s="2" t="s">
        <v>21</v>
      </c>
      <c r="M280" s="2" t="s">
        <v>22</v>
      </c>
      <c r="N280" s="2" t="s">
        <v>39</v>
      </c>
    </row>
    <row r="281" spans="1:14">
      <c r="A281" s="2" t="s">
        <v>531</v>
      </c>
      <c r="B281" s="2" t="s">
        <v>162</v>
      </c>
      <c r="C281" s="2" t="s">
        <v>71</v>
      </c>
      <c r="D281" s="2" t="s">
        <v>201</v>
      </c>
      <c r="E281" s="2" t="s">
        <v>275</v>
      </c>
      <c r="F281" s="2" t="s">
        <v>36</v>
      </c>
      <c r="G281" s="2" t="s">
        <v>37</v>
      </c>
      <c r="H281" s="2">
        <v>1</v>
      </c>
      <c r="I281" s="3">
        <v>22300000</v>
      </c>
      <c r="J281" s="3">
        <v>669000</v>
      </c>
      <c r="K281" s="3">
        <v>21631000</v>
      </c>
      <c r="L281" s="2" t="s">
        <v>21</v>
      </c>
      <c r="M281" s="2" t="s">
        <v>82</v>
      </c>
      <c r="N281" s="2" t="s">
        <v>39</v>
      </c>
    </row>
    <row r="282" spans="1:14">
      <c r="A282" s="2" t="s">
        <v>532</v>
      </c>
      <c r="B282" s="2" t="s">
        <v>111</v>
      </c>
      <c r="C282" s="2" t="s">
        <v>16</v>
      </c>
      <c r="D282" s="2" t="s">
        <v>58</v>
      </c>
      <c r="E282" s="2" t="s">
        <v>320</v>
      </c>
      <c r="F282" s="2" t="s">
        <v>68</v>
      </c>
      <c r="G282" s="2" t="s">
        <v>69</v>
      </c>
      <c r="H282" s="2">
        <v>1</v>
      </c>
      <c r="I282" s="3">
        <v>17800000</v>
      </c>
      <c r="J282" s="3">
        <v>0</v>
      </c>
      <c r="K282" s="3">
        <v>17800000</v>
      </c>
      <c r="L282" s="2" t="s">
        <v>38</v>
      </c>
      <c r="M282" s="2" t="s">
        <v>22</v>
      </c>
      <c r="N282" s="2" t="s">
        <v>39</v>
      </c>
    </row>
    <row r="283" spans="1:14">
      <c r="A283" s="2" t="s">
        <v>533</v>
      </c>
      <c r="B283" s="2" t="s">
        <v>162</v>
      </c>
      <c r="C283" s="2" t="s">
        <v>155</v>
      </c>
      <c r="D283" s="2" t="s">
        <v>126</v>
      </c>
      <c r="E283" s="2" t="s">
        <v>225</v>
      </c>
      <c r="F283" s="2" t="s">
        <v>142</v>
      </c>
      <c r="G283" s="2" t="s">
        <v>143</v>
      </c>
      <c r="H283" s="2">
        <v>1</v>
      </c>
      <c r="I283" s="3">
        <v>18900000</v>
      </c>
      <c r="J283" s="3">
        <v>945000</v>
      </c>
      <c r="K283" s="3">
        <v>17955000</v>
      </c>
      <c r="L283" s="2" t="s">
        <v>29</v>
      </c>
      <c r="M283" s="2" t="s">
        <v>22</v>
      </c>
      <c r="N283" s="2" t="s">
        <v>39</v>
      </c>
    </row>
    <row r="284" spans="1:14">
      <c r="A284" s="2" t="s">
        <v>534</v>
      </c>
      <c r="B284" s="2" t="s">
        <v>125</v>
      </c>
      <c r="C284" s="2" t="s">
        <v>155</v>
      </c>
      <c r="D284" s="2"/>
      <c r="E284" s="2" t="s">
        <v>223</v>
      </c>
      <c r="F284" s="2" t="s">
        <v>152</v>
      </c>
      <c r="G284" s="2" t="s">
        <v>153</v>
      </c>
      <c r="H284" s="2">
        <v>1</v>
      </c>
      <c r="I284" s="3">
        <v>27400000</v>
      </c>
      <c r="J284" s="3">
        <v>0</v>
      </c>
      <c r="K284" s="3">
        <v>27400000</v>
      </c>
      <c r="L284" s="2" t="s">
        <v>46</v>
      </c>
      <c r="M284" s="2" t="s">
        <v>82</v>
      </c>
      <c r="N284" s="2" t="s">
        <v>39</v>
      </c>
    </row>
    <row r="285" spans="1:14">
      <c r="A285" s="2" t="s">
        <v>535</v>
      </c>
      <c r="B285" s="2" t="s">
        <v>102</v>
      </c>
      <c r="C285" s="2" t="s">
        <v>16</v>
      </c>
      <c r="D285" s="2"/>
      <c r="E285" s="2" t="s">
        <v>116</v>
      </c>
      <c r="F285" s="2" t="s">
        <v>36</v>
      </c>
      <c r="G285" s="2" t="s">
        <v>37</v>
      </c>
      <c r="H285" s="2">
        <v>2</v>
      </c>
      <c r="I285" s="3">
        <v>22300000</v>
      </c>
      <c r="J285" s="3">
        <v>446000</v>
      </c>
      <c r="K285" s="3">
        <v>44154000</v>
      </c>
      <c r="L285" s="2" t="s">
        <v>46</v>
      </c>
      <c r="M285" s="2" t="s">
        <v>22</v>
      </c>
      <c r="N285" s="2" t="s">
        <v>39</v>
      </c>
    </row>
    <row r="286" spans="1:14">
      <c r="A286" s="2" t="s">
        <v>536</v>
      </c>
      <c r="B286" s="2" t="s">
        <v>108</v>
      </c>
      <c r="C286" s="2" t="s">
        <v>97</v>
      </c>
      <c r="D286" s="2" t="s">
        <v>94</v>
      </c>
      <c r="E286" s="2" t="s">
        <v>402</v>
      </c>
      <c r="F286" s="2" t="s">
        <v>99</v>
      </c>
      <c r="G286" s="2" t="s">
        <v>100</v>
      </c>
      <c r="H286" s="2">
        <v>1</v>
      </c>
      <c r="I286" s="3">
        <v>29800000</v>
      </c>
      <c r="J286" s="3">
        <v>298000</v>
      </c>
      <c r="K286" s="3">
        <v>29502000</v>
      </c>
      <c r="L286" s="2" t="s">
        <v>46</v>
      </c>
      <c r="M286" s="2" t="s">
        <v>22</v>
      </c>
      <c r="N286" s="2" t="s">
        <v>77</v>
      </c>
    </row>
    <row r="287" spans="1:14">
      <c r="A287" s="2" t="s">
        <v>537</v>
      </c>
      <c r="B287" s="2" t="s">
        <v>41</v>
      </c>
      <c r="C287" s="2" t="s">
        <v>85</v>
      </c>
      <c r="D287" s="2" t="s">
        <v>58</v>
      </c>
      <c r="E287" s="2" t="s">
        <v>76</v>
      </c>
      <c r="F287" s="2" t="s">
        <v>60</v>
      </c>
      <c r="G287" s="2" t="s">
        <v>61</v>
      </c>
      <c r="H287" s="2">
        <v>1</v>
      </c>
      <c r="I287" s="3">
        <v>21500000</v>
      </c>
      <c r="J287" s="3">
        <v>645000</v>
      </c>
      <c r="K287" s="3">
        <v>20855000</v>
      </c>
      <c r="L287" s="2" t="s">
        <v>29</v>
      </c>
      <c r="M287" s="2" t="s">
        <v>22</v>
      </c>
      <c r="N287" s="2" t="s">
        <v>39</v>
      </c>
    </row>
    <row r="288" spans="1:14">
      <c r="A288" s="2" t="s">
        <v>538</v>
      </c>
      <c r="B288" s="2" t="s">
        <v>25</v>
      </c>
      <c r="C288" s="2" t="s">
        <v>148</v>
      </c>
      <c r="D288" s="2" t="s">
        <v>98</v>
      </c>
      <c r="E288" s="2" t="s">
        <v>418</v>
      </c>
      <c r="F288" s="2" t="s">
        <v>99</v>
      </c>
      <c r="G288" s="2" t="s">
        <v>100</v>
      </c>
      <c r="H288" s="2">
        <v>1</v>
      </c>
      <c r="I288" s="3">
        <v>29800000</v>
      </c>
      <c r="J288" s="3">
        <v>1490000</v>
      </c>
      <c r="K288" s="3">
        <v>28310000</v>
      </c>
      <c r="L288" s="2" t="s">
        <v>29</v>
      </c>
      <c r="M288" s="2" t="s">
        <v>22</v>
      </c>
      <c r="N288" s="2" t="s">
        <v>77</v>
      </c>
    </row>
    <row r="289" spans="1:14">
      <c r="A289" s="2" t="s">
        <v>539</v>
      </c>
      <c r="B289" s="2" t="s">
        <v>111</v>
      </c>
      <c r="C289" s="2" t="s">
        <v>85</v>
      </c>
      <c r="D289" s="2" t="s">
        <v>72</v>
      </c>
      <c r="E289" s="2" t="s">
        <v>540</v>
      </c>
      <c r="F289" s="2" t="s">
        <v>142</v>
      </c>
      <c r="G289" s="2" t="s">
        <v>143</v>
      </c>
      <c r="H289" s="2">
        <v>1</v>
      </c>
      <c r="I289" s="3">
        <v>18900000</v>
      </c>
      <c r="J289" s="3">
        <v>0</v>
      </c>
      <c r="K289" s="3">
        <v>18900000</v>
      </c>
      <c r="L289" s="2" t="s">
        <v>38</v>
      </c>
      <c r="M289" s="2" t="s">
        <v>22</v>
      </c>
      <c r="N289" s="2" t="s">
        <v>23</v>
      </c>
    </row>
    <row r="290" spans="1:14">
      <c r="A290" s="2" t="s">
        <v>541</v>
      </c>
      <c r="B290" s="2" t="s">
        <v>125</v>
      </c>
      <c r="C290" s="2" t="s">
        <v>65</v>
      </c>
      <c r="D290" s="2" t="s">
        <v>201</v>
      </c>
      <c r="E290" s="2" t="s">
        <v>484</v>
      </c>
      <c r="F290" s="2" t="s">
        <v>60</v>
      </c>
      <c r="G290" s="2" t="s">
        <v>61</v>
      </c>
      <c r="H290" s="2">
        <v>1</v>
      </c>
      <c r="I290" s="3">
        <v>21500000</v>
      </c>
      <c r="J290" s="3">
        <v>0</v>
      </c>
      <c r="K290" s="3">
        <v>21500000</v>
      </c>
      <c r="L290" s="2" t="s">
        <v>29</v>
      </c>
      <c r="M290" s="2" t="s">
        <v>87</v>
      </c>
      <c r="N290" s="2" t="s">
        <v>23</v>
      </c>
    </row>
    <row r="291" spans="1:14">
      <c r="A291" s="2" t="s">
        <v>542</v>
      </c>
      <c r="B291" s="2" t="s">
        <v>162</v>
      </c>
      <c r="C291" s="2" t="s">
        <v>48</v>
      </c>
      <c r="D291" s="2" t="s">
        <v>113</v>
      </c>
      <c r="E291" s="2" t="s">
        <v>543</v>
      </c>
      <c r="F291" s="2" t="s">
        <v>91</v>
      </c>
      <c r="G291" s="2" t="s">
        <v>92</v>
      </c>
      <c r="H291" s="2">
        <v>1</v>
      </c>
      <c r="I291" s="3">
        <v>26900000</v>
      </c>
      <c r="J291" s="3">
        <v>1345000</v>
      </c>
      <c r="K291" s="3">
        <v>25555000</v>
      </c>
      <c r="L291" s="2" t="s">
        <v>62</v>
      </c>
      <c r="M291" s="2" t="s">
        <v>22</v>
      </c>
      <c r="N291" s="2" t="s">
        <v>23</v>
      </c>
    </row>
    <row r="292" spans="1:14">
      <c r="A292" s="2" t="s">
        <v>544</v>
      </c>
      <c r="B292" s="2" t="s">
        <v>84</v>
      </c>
      <c r="C292" s="2" t="s">
        <v>285</v>
      </c>
      <c r="D292" s="2" t="s">
        <v>72</v>
      </c>
      <c r="E292" s="2" t="s">
        <v>249</v>
      </c>
      <c r="F292" s="2" t="s">
        <v>19</v>
      </c>
      <c r="G292" s="2" t="s">
        <v>20</v>
      </c>
      <c r="H292" s="2">
        <v>1</v>
      </c>
      <c r="I292" s="3">
        <v>33500000</v>
      </c>
      <c r="J292" s="3">
        <v>0</v>
      </c>
      <c r="K292" s="3">
        <v>33500000</v>
      </c>
      <c r="L292" s="2" t="s">
        <v>29</v>
      </c>
      <c r="M292" s="2" t="s">
        <v>87</v>
      </c>
      <c r="N292" s="2" t="s">
        <v>77</v>
      </c>
    </row>
    <row r="293" spans="1:14">
      <c r="A293" s="2" t="s">
        <v>545</v>
      </c>
      <c r="B293" s="2" t="s">
        <v>25</v>
      </c>
      <c r="C293" s="2" t="s">
        <v>26</v>
      </c>
      <c r="D293" s="2" t="s">
        <v>75</v>
      </c>
      <c r="E293" s="2" t="s">
        <v>546</v>
      </c>
      <c r="F293" s="2" t="s">
        <v>51</v>
      </c>
      <c r="G293" s="2" t="s">
        <v>52</v>
      </c>
      <c r="H293" s="2">
        <v>1</v>
      </c>
      <c r="I293" s="3">
        <v>41000000</v>
      </c>
      <c r="J293" s="3">
        <v>0</v>
      </c>
      <c r="K293" s="3">
        <v>41000000</v>
      </c>
      <c r="L293" s="2" t="s">
        <v>62</v>
      </c>
      <c r="M293" s="2" t="s">
        <v>22</v>
      </c>
      <c r="N293" s="2" t="s">
        <v>77</v>
      </c>
    </row>
    <row r="294" spans="1:14">
      <c r="A294" s="2" t="s">
        <v>547</v>
      </c>
      <c r="B294" s="2" t="s">
        <v>108</v>
      </c>
      <c r="C294" s="2" t="s">
        <v>97</v>
      </c>
      <c r="D294" s="2" t="s">
        <v>42</v>
      </c>
      <c r="E294" s="2" t="s">
        <v>450</v>
      </c>
      <c r="F294" s="2" t="s">
        <v>152</v>
      </c>
      <c r="G294" s="2" t="s">
        <v>153</v>
      </c>
      <c r="H294" s="2">
        <v>1</v>
      </c>
      <c r="I294" s="3">
        <v>27400000</v>
      </c>
      <c r="J294" s="3">
        <v>0</v>
      </c>
      <c r="K294" s="3">
        <v>27400000</v>
      </c>
      <c r="L294" s="2" t="s">
        <v>21</v>
      </c>
      <c r="M294" s="2" t="s">
        <v>22</v>
      </c>
      <c r="N294" s="2" t="s">
        <v>30</v>
      </c>
    </row>
    <row r="295" spans="1:14">
      <c r="A295" s="2" t="s">
        <v>548</v>
      </c>
      <c r="B295" s="2" t="s">
        <v>140</v>
      </c>
      <c r="C295" s="2" t="s">
        <v>148</v>
      </c>
      <c r="D295" s="2" t="s">
        <v>80</v>
      </c>
      <c r="E295" s="2" t="s">
        <v>549</v>
      </c>
      <c r="F295" s="2" t="s">
        <v>19</v>
      </c>
      <c r="G295" s="2" t="s">
        <v>20</v>
      </c>
      <c r="H295" s="2">
        <v>1</v>
      </c>
      <c r="I295" s="3">
        <v>33500000</v>
      </c>
      <c r="J295" s="3">
        <v>670000</v>
      </c>
      <c r="K295" s="3">
        <v>32830000</v>
      </c>
      <c r="L295" s="2" t="s">
        <v>21</v>
      </c>
      <c r="M295" s="2" t="s">
        <v>22</v>
      </c>
      <c r="N295" s="2" t="s">
        <v>30</v>
      </c>
    </row>
    <row r="296" spans="1:14">
      <c r="A296" s="2" t="s">
        <v>550</v>
      </c>
      <c r="B296" s="2" t="s">
        <v>32</v>
      </c>
      <c r="C296" s="2" t="s">
        <v>89</v>
      </c>
      <c r="D296" s="2" t="s">
        <v>49</v>
      </c>
      <c r="E296" s="2" t="s">
        <v>551</v>
      </c>
      <c r="F296" s="2" t="s">
        <v>99</v>
      </c>
      <c r="G296" s="2" t="s">
        <v>100</v>
      </c>
      <c r="H296" s="2">
        <v>1</v>
      </c>
      <c r="I296" s="3">
        <v>29800000</v>
      </c>
      <c r="J296" s="3">
        <v>0</v>
      </c>
      <c r="K296" s="3">
        <v>29800000</v>
      </c>
      <c r="L296" s="2" t="s">
        <v>29</v>
      </c>
      <c r="M296" s="2" t="s">
        <v>22</v>
      </c>
      <c r="N296" s="2" t="s">
        <v>30</v>
      </c>
    </row>
    <row r="297" spans="1:14">
      <c r="A297" s="2" t="s">
        <v>552</v>
      </c>
      <c r="B297" s="2" t="s">
        <v>25</v>
      </c>
      <c r="C297" s="2" t="s">
        <v>65</v>
      </c>
      <c r="D297" s="2" t="s">
        <v>126</v>
      </c>
      <c r="E297" s="2" t="s">
        <v>314</v>
      </c>
      <c r="F297" s="2" t="s">
        <v>44</v>
      </c>
      <c r="G297" s="2" t="s">
        <v>45</v>
      </c>
      <c r="H297" s="2">
        <v>1</v>
      </c>
      <c r="I297" s="3">
        <v>24600000</v>
      </c>
      <c r="J297" s="3">
        <v>738000</v>
      </c>
      <c r="K297" s="3">
        <v>23862000</v>
      </c>
      <c r="L297" s="2" t="s">
        <v>21</v>
      </c>
      <c r="M297" s="2" t="s">
        <v>82</v>
      </c>
      <c r="N297" s="2" t="s">
        <v>77</v>
      </c>
    </row>
    <row r="298" spans="1:14">
      <c r="A298" s="2" t="s">
        <v>553</v>
      </c>
      <c r="B298" s="2" t="s">
        <v>102</v>
      </c>
      <c r="C298" s="2" t="s">
        <v>85</v>
      </c>
      <c r="D298" s="2"/>
      <c r="E298" s="2" t="s">
        <v>234</v>
      </c>
      <c r="F298" s="2" t="s">
        <v>152</v>
      </c>
      <c r="G298" s="2" t="s">
        <v>153</v>
      </c>
      <c r="H298" s="2">
        <v>1</v>
      </c>
      <c r="I298" s="3">
        <v>27400000</v>
      </c>
      <c r="J298" s="3">
        <v>822000</v>
      </c>
      <c r="K298" s="3">
        <v>26578000</v>
      </c>
      <c r="L298" s="2" t="s">
        <v>29</v>
      </c>
      <c r="M298" s="2" t="s">
        <v>22</v>
      </c>
      <c r="N298" s="2" t="s">
        <v>30</v>
      </c>
    </row>
    <row r="299" spans="1:14">
      <c r="A299" s="2" t="s">
        <v>554</v>
      </c>
      <c r="B299" s="2" t="s">
        <v>57</v>
      </c>
      <c r="C299" s="2" t="s">
        <v>285</v>
      </c>
      <c r="D299" s="2" t="s">
        <v>27</v>
      </c>
      <c r="E299" s="2" t="s">
        <v>450</v>
      </c>
      <c r="F299" s="2" t="s">
        <v>99</v>
      </c>
      <c r="G299" s="2" t="s">
        <v>100</v>
      </c>
      <c r="H299" s="2">
        <v>1</v>
      </c>
      <c r="I299" s="3">
        <v>29800000</v>
      </c>
      <c r="J299" s="3">
        <v>0</v>
      </c>
      <c r="K299" s="3">
        <v>29800000</v>
      </c>
      <c r="L299" s="2" t="s">
        <v>46</v>
      </c>
      <c r="M299" s="2" t="s">
        <v>22</v>
      </c>
      <c r="N299" s="2" t="s">
        <v>23</v>
      </c>
    </row>
    <row r="300" spans="1:14">
      <c r="A300" s="2" t="s">
        <v>555</v>
      </c>
      <c r="B300" s="2" t="s">
        <v>64</v>
      </c>
      <c r="C300" s="2" t="s">
        <v>85</v>
      </c>
      <c r="D300" s="2" t="s">
        <v>130</v>
      </c>
      <c r="E300" s="2" t="s">
        <v>163</v>
      </c>
      <c r="F300" s="2" t="s">
        <v>19</v>
      </c>
      <c r="G300" s="2" t="s">
        <v>20</v>
      </c>
      <c r="H300" s="2">
        <v>1</v>
      </c>
      <c r="I300" s="3">
        <v>33500000</v>
      </c>
      <c r="J300" s="3">
        <v>670000</v>
      </c>
      <c r="K300" s="3">
        <v>32830000</v>
      </c>
      <c r="L300" s="2" t="s">
        <v>46</v>
      </c>
      <c r="M300" s="2" t="s">
        <v>82</v>
      </c>
      <c r="N300" s="2" t="s">
        <v>23</v>
      </c>
    </row>
    <row r="301" spans="1:14">
      <c r="A301" s="2" t="s">
        <v>556</v>
      </c>
      <c r="B301" s="2" t="s">
        <v>25</v>
      </c>
      <c r="C301" s="2" t="s">
        <v>26</v>
      </c>
      <c r="D301" s="2" t="s">
        <v>58</v>
      </c>
      <c r="E301" s="2" t="s">
        <v>219</v>
      </c>
      <c r="F301" s="2" t="s">
        <v>152</v>
      </c>
      <c r="G301" s="2" t="s">
        <v>153</v>
      </c>
      <c r="H301" s="2">
        <v>2</v>
      </c>
      <c r="I301" s="3">
        <v>27400000</v>
      </c>
      <c r="J301" s="3">
        <v>0</v>
      </c>
      <c r="K301" s="3">
        <v>54800000</v>
      </c>
      <c r="L301" s="2" t="s">
        <v>46</v>
      </c>
      <c r="M301" s="2" t="s">
        <v>22</v>
      </c>
      <c r="N301" s="2" t="s">
        <v>77</v>
      </c>
    </row>
    <row r="302" spans="1:14">
      <c r="A302" s="2" t="s">
        <v>557</v>
      </c>
      <c r="B302" s="2" t="s">
        <v>15</v>
      </c>
      <c r="C302" s="2" t="s">
        <v>97</v>
      </c>
      <c r="D302" s="2" t="s">
        <v>17</v>
      </c>
      <c r="E302" s="2" t="s">
        <v>127</v>
      </c>
      <c r="F302" s="2" t="s">
        <v>44</v>
      </c>
      <c r="G302" s="2" t="s">
        <v>45</v>
      </c>
      <c r="H302" s="2">
        <v>1</v>
      </c>
      <c r="I302" s="3">
        <v>24600000</v>
      </c>
      <c r="J302" s="3">
        <v>492000</v>
      </c>
      <c r="K302" s="3">
        <v>24108000</v>
      </c>
      <c r="L302" s="2" t="s">
        <v>29</v>
      </c>
      <c r="M302" s="2" t="s">
        <v>82</v>
      </c>
      <c r="N302" s="2" t="s">
        <v>23</v>
      </c>
    </row>
    <row r="303" spans="1:14">
      <c r="A303" s="2" t="s">
        <v>558</v>
      </c>
      <c r="B303" s="2" t="s">
        <v>64</v>
      </c>
      <c r="C303" s="2" t="s">
        <v>112</v>
      </c>
      <c r="D303" s="2" t="s">
        <v>130</v>
      </c>
      <c r="E303" s="2" t="s">
        <v>428</v>
      </c>
      <c r="F303" s="2" t="s">
        <v>60</v>
      </c>
      <c r="G303" s="2" t="s">
        <v>61</v>
      </c>
      <c r="H303" s="2">
        <v>1</v>
      </c>
      <c r="I303" s="3">
        <v>21500000</v>
      </c>
      <c r="J303" s="3">
        <v>0</v>
      </c>
      <c r="K303" s="3">
        <v>21500000</v>
      </c>
      <c r="L303" s="2" t="s">
        <v>21</v>
      </c>
      <c r="M303" s="2" t="s">
        <v>22</v>
      </c>
      <c r="N303" s="2" t="s">
        <v>39</v>
      </c>
    </row>
    <row r="304" spans="1:14">
      <c r="A304" s="2" t="s">
        <v>559</v>
      </c>
      <c r="B304" s="2" t="s">
        <v>108</v>
      </c>
      <c r="C304" s="2" t="s">
        <v>26</v>
      </c>
      <c r="D304" s="2" t="s">
        <v>42</v>
      </c>
      <c r="E304" s="2" t="s">
        <v>109</v>
      </c>
      <c r="F304" s="2" t="s">
        <v>19</v>
      </c>
      <c r="G304" s="2" t="s">
        <v>20</v>
      </c>
      <c r="H304" s="2">
        <v>1</v>
      </c>
      <c r="I304" s="3">
        <v>33500000</v>
      </c>
      <c r="J304" s="3">
        <v>0</v>
      </c>
      <c r="K304" s="3">
        <v>33500000</v>
      </c>
      <c r="L304" s="2" t="s">
        <v>21</v>
      </c>
      <c r="M304" s="2" t="s">
        <v>22</v>
      </c>
      <c r="N304" s="2" t="s">
        <v>23</v>
      </c>
    </row>
    <row r="305" spans="1:14">
      <c r="A305" s="2" t="s">
        <v>560</v>
      </c>
      <c r="B305" s="2" t="s">
        <v>84</v>
      </c>
      <c r="C305" s="2" t="s">
        <v>33</v>
      </c>
      <c r="D305" s="2" t="s">
        <v>168</v>
      </c>
      <c r="E305" s="2" t="s">
        <v>221</v>
      </c>
      <c r="F305" s="2" t="s">
        <v>152</v>
      </c>
      <c r="G305" s="2" t="s">
        <v>153</v>
      </c>
      <c r="H305" s="2">
        <v>1</v>
      </c>
      <c r="I305" s="3">
        <v>27400000</v>
      </c>
      <c r="J305" s="3">
        <v>548000</v>
      </c>
      <c r="K305" s="3">
        <v>26852000</v>
      </c>
      <c r="L305" s="2" t="s">
        <v>46</v>
      </c>
      <c r="M305" s="2" t="s">
        <v>22</v>
      </c>
      <c r="N305" s="2" t="s">
        <v>77</v>
      </c>
    </row>
    <row r="306" spans="1:14">
      <c r="A306" s="2" t="s">
        <v>561</v>
      </c>
      <c r="B306" s="2" t="s">
        <v>105</v>
      </c>
      <c r="C306" s="2" t="s">
        <v>16</v>
      </c>
      <c r="D306" s="2" t="s">
        <v>34</v>
      </c>
      <c r="E306" s="2" t="s">
        <v>562</v>
      </c>
      <c r="F306" s="2" t="s">
        <v>99</v>
      </c>
      <c r="G306" s="2" t="s">
        <v>100</v>
      </c>
      <c r="H306" s="2">
        <v>1</v>
      </c>
      <c r="I306" s="3">
        <v>29800000</v>
      </c>
      <c r="J306" s="3">
        <v>0</v>
      </c>
      <c r="K306" s="3">
        <v>29800000</v>
      </c>
      <c r="L306" s="2" t="s">
        <v>62</v>
      </c>
      <c r="M306" s="2" t="s">
        <v>22</v>
      </c>
      <c r="N306" s="2" t="s">
        <v>77</v>
      </c>
    </row>
    <row r="307" spans="1:14">
      <c r="A307" s="2" t="s">
        <v>563</v>
      </c>
      <c r="B307" s="2" t="s">
        <v>15</v>
      </c>
      <c r="C307" s="2" t="s">
        <v>85</v>
      </c>
      <c r="D307" s="2" t="s">
        <v>145</v>
      </c>
      <c r="E307" s="2" t="s">
        <v>278</v>
      </c>
      <c r="F307" s="2" t="s">
        <v>91</v>
      </c>
      <c r="G307" s="2" t="s">
        <v>92</v>
      </c>
      <c r="H307" s="2">
        <v>1</v>
      </c>
      <c r="I307" s="3">
        <v>26900000</v>
      </c>
      <c r="J307" s="3">
        <v>807000</v>
      </c>
      <c r="K307" s="3">
        <v>26093000</v>
      </c>
      <c r="L307" s="2" t="s">
        <v>38</v>
      </c>
      <c r="M307" s="2" t="s">
        <v>22</v>
      </c>
      <c r="N307" s="2" t="s">
        <v>39</v>
      </c>
    </row>
    <row r="308" spans="1:14">
      <c r="A308" s="2" t="s">
        <v>564</v>
      </c>
      <c r="B308" s="2" t="s">
        <v>111</v>
      </c>
      <c r="C308" s="2" t="s">
        <v>33</v>
      </c>
      <c r="D308" s="2" t="s">
        <v>242</v>
      </c>
      <c r="E308" s="2" t="s">
        <v>133</v>
      </c>
      <c r="F308" s="2" t="s">
        <v>152</v>
      </c>
      <c r="G308" s="2" t="s">
        <v>153</v>
      </c>
      <c r="H308" s="2">
        <v>1</v>
      </c>
      <c r="I308" s="3">
        <v>27400000</v>
      </c>
      <c r="J308" s="3">
        <v>822000</v>
      </c>
      <c r="K308" s="3">
        <v>26578000</v>
      </c>
      <c r="L308" s="2" t="s">
        <v>46</v>
      </c>
      <c r="M308" s="2" t="s">
        <v>22</v>
      </c>
      <c r="N308" s="2" t="s">
        <v>23</v>
      </c>
    </row>
    <row r="309" spans="1:14">
      <c r="A309" s="2" t="s">
        <v>565</v>
      </c>
      <c r="B309" s="2" t="s">
        <v>108</v>
      </c>
      <c r="C309" s="2" t="s">
        <v>85</v>
      </c>
      <c r="D309" s="2" t="s">
        <v>80</v>
      </c>
      <c r="E309" s="2" t="s">
        <v>566</v>
      </c>
      <c r="F309" s="2" t="s">
        <v>19</v>
      </c>
      <c r="G309" s="2" t="s">
        <v>20</v>
      </c>
      <c r="H309" s="2">
        <v>1</v>
      </c>
      <c r="I309" s="3">
        <v>33500000</v>
      </c>
      <c r="J309" s="3">
        <v>0</v>
      </c>
      <c r="K309" s="3">
        <v>33500000</v>
      </c>
      <c r="L309" s="2" t="s">
        <v>21</v>
      </c>
      <c r="M309" s="2" t="s">
        <v>22</v>
      </c>
      <c r="N309" s="2" t="s">
        <v>77</v>
      </c>
    </row>
    <row r="310" spans="1:14">
      <c r="A310" s="2" t="s">
        <v>567</v>
      </c>
      <c r="B310" s="2" t="s">
        <v>64</v>
      </c>
      <c r="C310" s="2" t="s">
        <v>89</v>
      </c>
      <c r="D310" s="2" t="s">
        <v>80</v>
      </c>
      <c r="E310" s="2" t="s">
        <v>568</v>
      </c>
      <c r="F310" s="2" t="s">
        <v>19</v>
      </c>
      <c r="G310" s="2" t="s">
        <v>20</v>
      </c>
      <c r="H310" s="2">
        <v>1</v>
      </c>
      <c r="I310" s="3">
        <v>33500000</v>
      </c>
      <c r="J310" s="3">
        <v>1675000</v>
      </c>
      <c r="K310" s="3">
        <v>31825000</v>
      </c>
      <c r="L310" s="2" t="s">
        <v>46</v>
      </c>
      <c r="M310" s="2" t="s">
        <v>22</v>
      </c>
      <c r="N310" s="2" t="s">
        <v>39</v>
      </c>
    </row>
    <row r="311" spans="1:14">
      <c r="A311" s="2" t="s">
        <v>569</v>
      </c>
      <c r="B311" s="2" t="s">
        <v>189</v>
      </c>
      <c r="C311" s="2" t="s">
        <v>65</v>
      </c>
      <c r="D311" s="2" t="s">
        <v>75</v>
      </c>
      <c r="E311" s="2" t="s">
        <v>381</v>
      </c>
      <c r="F311" s="2" t="s">
        <v>99</v>
      </c>
      <c r="G311" s="2" t="s">
        <v>100</v>
      </c>
      <c r="H311" s="2">
        <v>1</v>
      </c>
      <c r="I311" s="3">
        <v>29800000</v>
      </c>
      <c r="J311" s="3">
        <v>894000</v>
      </c>
      <c r="K311" s="3">
        <v>28906000</v>
      </c>
      <c r="L311" s="2" t="s">
        <v>46</v>
      </c>
      <c r="M311" s="2" t="s">
        <v>22</v>
      </c>
      <c r="N311" s="2" t="s">
        <v>39</v>
      </c>
    </row>
    <row r="312" spans="1:14">
      <c r="A312" s="2" t="s">
        <v>222</v>
      </c>
      <c r="B312" s="2" t="s">
        <v>140</v>
      </c>
      <c r="C312" s="2" t="s">
        <v>16</v>
      </c>
      <c r="D312" s="2" t="s">
        <v>54</v>
      </c>
      <c r="E312" s="2" t="s">
        <v>223</v>
      </c>
      <c r="F312" s="2" t="s">
        <v>152</v>
      </c>
      <c r="G312" s="2" t="s">
        <v>153</v>
      </c>
      <c r="H312" s="2">
        <v>1</v>
      </c>
      <c r="I312" s="3">
        <v>27400000</v>
      </c>
      <c r="J312" s="3">
        <v>1370000</v>
      </c>
      <c r="K312" s="3">
        <v>26030000</v>
      </c>
      <c r="L312" s="2" t="s">
        <v>29</v>
      </c>
      <c r="M312" s="2" t="s">
        <v>22</v>
      </c>
      <c r="N312" s="2" t="s">
        <v>23</v>
      </c>
    </row>
    <row r="313" spans="1:14">
      <c r="A313" s="2" t="s">
        <v>570</v>
      </c>
      <c r="B313" s="2" t="s">
        <v>64</v>
      </c>
      <c r="C313" s="2" t="s">
        <v>26</v>
      </c>
      <c r="D313" s="2" t="s">
        <v>126</v>
      </c>
      <c r="E313" s="2" t="s">
        <v>286</v>
      </c>
      <c r="F313" s="2" t="s">
        <v>152</v>
      </c>
      <c r="G313" s="2" t="s">
        <v>153</v>
      </c>
      <c r="H313" s="2">
        <v>1</v>
      </c>
      <c r="I313" s="3">
        <v>27400000</v>
      </c>
      <c r="J313" s="3">
        <v>274000</v>
      </c>
      <c r="K313" s="3">
        <v>27126000</v>
      </c>
      <c r="L313" s="2" t="s">
        <v>29</v>
      </c>
      <c r="M313" s="2" t="s">
        <v>22</v>
      </c>
      <c r="N313" s="2" t="s">
        <v>23</v>
      </c>
    </row>
    <row r="314" spans="1:14">
      <c r="A314" s="2" t="s">
        <v>571</v>
      </c>
      <c r="B314" s="2" t="s">
        <v>84</v>
      </c>
      <c r="C314" s="2" t="s">
        <v>97</v>
      </c>
      <c r="D314" s="2" t="s">
        <v>242</v>
      </c>
      <c r="E314" s="2" t="s">
        <v>301</v>
      </c>
      <c r="F314" s="2" t="s">
        <v>152</v>
      </c>
      <c r="G314" s="2" t="s">
        <v>153</v>
      </c>
      <c r="H314" s="2">
        <v>1</v>
      </c>
      <c r="I314" s="3">
        <v>27400000</v>
      </c>
      <c r="J314" s="3">
        <v>0</v>
      </c>
      <c r="K314" s="3">
        <v>27400000</v>
      </c>
      <c r="L314" s="2" t="s">
        <v>62</v>
      </c>
      <c r="M314" s="2" t="s">
        <v>22</v>
      </c>
      <c r="N314" s="2" t="s">
        <v>23</v>
      </c>
    </row>
    <row r="315" spans="1:14">
      <c r="A315" s="2" t="s">
        <v>572</v>
      </c>
      <c r="B315" s="2" t="s">
        <v>41</v>
      </c>
      <c r="C315" s="2" t="s">
        <v>182</v>
      </c>
      <c r="D315" s="2" t="s">
        <v>54</v>
      </c>
      <c r="E315" s="2" t="s">
        <v>461</v>
      </c>
      <c r="F315" s="2" t="s">
        <v>44</v>
      </c>
      <c r="G315" s="2" t="s">
        <v>45</v>
      </c>
      <c r="H315" s="2">
        <v>1</v>
      </c>
      <c r="I315" s="3">
        <v>24600000</v>
      </c>
      <c r="J315" s="3">
        <v>492000</v>
      </c>
      <c r="K315" s="3">
        <v>24108000</v>
      </c>
      <c r="L315" s="2" t="s">
        <v>29</v>
      </c>
      <c r="M315" s="2" t="s">
        <v>22</v>
      </c>
      <c r="N315" s="2" t="s">
        <v>23</v>
      </c>
    </row>
    <row r="316" spans="1:14">
      <c r="A316" s="2" t="s">
        <v>573</v>
      </c>
      <c r="B316" s="2" t="s">
        <v>140</v>
      </c>
      <c r="C316" s="2" t="s">
        <v>112</v>
      </c>
      <c r="D316" s="2" t="s">
        <v>168</v>
      </c>
      <c r="E316" s="2" t="s">
        <v>468</v>
      </c>
      <c r="F316" s="2" t="s">
        <v>36</v>
      </c>
      <c r="G316" s="2" t="s">
        <v>37</v>
      </c>
      <c r="H316" s="2">
        <v>1</v>
      </c>
      <c r="I316" s="3">
        <v>22300000</v>
      </c>
      <c r="J316" s="3">
        <v>223000</v>
      </c>
      <c r="K316" s="3">
        <v>22077000</v>
      </c>
      <c r="L316" s="2" t="s">
        <v>29</v>
      </c>
      <c r="M316" s="2" t="s">
        <v>22</v>
      </c>
      <c r="N316" s="2" t="s">
        <v>39</v>
      </c>
    </row>
    <row r="317" spans="1:14">
      <c r="A317" s="2" t="s">
        <v>574</v>
      </c>
      <c r="B317" s="2" t="s">
        <v>122</v>
      </c>
      <c r="C317" s="2" t="s">
        <v>65</v>
      </c>
      <c r="D317" s="2" t="s">
        <v>80</v>
      </c>
      <c r="E317" s="2"/>
      <c r="F317" s="2" t="s">
        <v>36</v>
      </c>
      <c r="G317" s="2" t="s">
        <v>37</v>
      </c>
      <c r="H317" s="2">
        <v>1</v>
      </c>
      <c r="I317" s="3">
        <v>22300000</v>
      </c>
      <c r="J317" s="3">
        <v>446000</v>
      </c>
      <c r="K317" s="3">
        <v>21854000</v>
      </c>
      <c r="L317" s="2" t="s">
        <v>62</v>
      </c>
      <c r="M317" s="2" t="s">
        <v>22</v>
      </c>
      <c r="N317" s="2" t="s">
        <v>30</v>
      </c>
    </row>
    <row r="318" spans="1:14">
      <c r="A318" s="2" t="s">
        <v>575</v>
      </c>
      <c r="B318" s="2" t="s">
        <v>108</v>
      </c>
      <c r="C318" s="2" t="s">
        <v>97</v>
      </c>
      <c r="D318" s="2" t="s">
        <v>72</v>
      </c>
      <c r="E318" s="2" t="s">
        <v>576</v>
      </c>
      <c r="F318" s="2" t="s">
        <v>68</v>
      </c>
      <c r="G318" s="2" t="s">
        <v>69</v>
      </c>
      <c r="H318" s="2">
        <v>2</v>
      </c>
      <c r="I318" s="3">
        <v>17800000</v>
      </c>
      <c r="J318" s="3">
        <v>356000</v>
      </c>
      <c r="K318" s="3">
        <v>35244000</v>
      </c>
      <c r="L318" s="2" t="s">
        <v>46</v>
      </c>
      <c r="M318" s="2" t="s">
        <v>82</v>
      </c>
      <c r="N318" s="2" t="s">
        <v>77</v>
      </c>
    </row>
    <row r="319" spans="1:14">
      <c r="A319" s="2" t="s">
        <v>577</v>
      </c>
      <c r="B319" s="2" t="s">
        <v>57</v>
      </c>
      <c r="C319" s="2" t="s">
        <v>33</v>
      </c>
      <c r="D319" s="2" t="s">
        <v>34</v>
      </c>
      <c r="E319" s="2" t="s">
        <v>314</v>
      </c>
      <c r="F319" s="2" t="s">
        <v>152</v>
      </c>
      <c r="G319" s="2" t="s">
        <v>153</v>
      </c>
      <c r="H319" s="2">
        <v>1</v>
      </c>
      <c r="I319" s="3">
        <v>27400000</v>
      </c>
      <c r="J319" s="3">
        <v>822000</v>
      </c>
      <c r="K319" s="3">
        <v>26578000</v>
      </c>
      <c r="L319" s="2" t="s">
        <v>29</v>
      </c>
      <c r="M319" s="2" t="s">
        <v>87</v>
      </c>
      <c r="N319" s="2" t="s">
        <v>39</v>
      </c>
    </row>
    <row r="320" spans="1:14">
      <c r="A320" s="2" t="s">
        <v>578</v>
      </c>
      <c r="B320" s="2" t="s">
        <v>140</v>
      </c>
      <c r="C320" s="2" t="s">
        <v>182</v>
      </c>
      <c r="D320" s="2" t="s">
        <v>72</v>
      </c>
      <c r="E320" s="2" t="s">
        <v>521</v>
      </c>
      <c r="F320" s="2" t="s">
        <v>99</v>
      </c>
      <c r="G320" s="2" t="s">
        <v>100</v>
      </c>
      <c r="H320" s="2">
        <v>1</v>
      </c>
      <c r="I320" s="3">
        <v>29800000</v>
      </c>
      <c r="J320" s="3">
        <v>0</v>
      </c>
      <c r="K320" s="3">
        <v>29800000</v>
      </c>
      <c r="L320" s="2" t="s">
        <v>21</v>
      </c>
      <c r="M320" s="2" t="s">
        <v>22</v>
      </c>
      <c r="N320" s="2" t="s">
        <v>77</v>
      </c>
    </row>
    <row r="321" spans="1:14">
      <c r="A321" s="2" t="s">
        <v>579</v>
      </c>
      <c r="B321" s="2" t="s">
        <v>64</v>
      </c>
      <c r="C321" s="2" t="s">
        <v>425</v>
      </c>
      <c r="D321" s="2" t="s">
        <v>58</v>
      </c>
      <c r="E321" s="2" t="s">
        <v>492</v>
      </c>
      <c r="F321" s="2" t="s">
        <v>68</v>
      </c>
      <c r="G321" s="2" t="s">
        <v>69</v>
      </c>
      <c r="H321" s="2">
        <v>1</v>
      </c>
      <c r="I321" s="3">
        <v>17800000</v>
      </c>
      <c r="J321" s="3">
        <v>356000</v>
      </c>
      <c r="K321" s="3">
        <v>17444000</v>
      </c>
      <c r="L321" s="2" t="s">
        <v>38</v>
      </c>
      <c r="M321" s="2" t="s">
        <v>22</v>
      </c>
      <c r="N321" s="2" t="s">
        <v>77</v>
      </c>
    </row>
    <row r="322" spans="1:14">
      <c r="A322" s="2" t="s">
        <v>580</v>
      </c>
      <c r="B322" s="2" t="s">
        <v>140</v>
      </c>
      <c r="C322" s="2" t="s">
        <v>182</v>
      </c>
      <c r="D322" s="2" t="s">
        <v>58</v>
      </c>
      <c r="E322" s="2" t="s">
        <v>507</v>
      </c>
      <c r="F322" s="2" t="s">
        <v>44</v>
      </c>
      <c r="G322" s="2" t="s">
        <v>45</v>
      </c>
      <c r="H322" s="2">
        <v>1</v>
      </c>
      <c r="I322" s="3">
        <v>24600000</v>
      </c>
      <c r="J322" s="3">
        <v>0</v>
      </c>
      <c r="K322" s="3">
        <v>24600000</v>
      </c>
      <c r="L322" s="2" t="s">
        <v>62</v>
      </c>
      <c r="M322" s="2" t="s">
        <v>22</v>
      </c>
      <c r="N322" s="2" t="s">
        <v>30</v>
      </c>
    </row>
    <row r="323" spans="1:14">
      <c r="A323" s="2" t="s">
        <v>581</v>
      </c>
      <c r="B323" s="2" t="s">
        <v>64</v>
      </c>
      <c r="C323" s="2" t="s">
        <v>85</v>
      </c>
      <c r="D323" s="2" t="s">
        <v>34</v>
      </c>
      <c r="E323" s="2" t="s">
        <v>582</v>
      </c>
      <c r="F323" s="2" t="s">
        <v>44</v>
      </c>
      <c r="G323" s="2" t="s">
        <v>45</v>
      </c>
      <c r="H323" s="2">
        <v>1</v>
      </c>
      <c r="I323" s="3">
        <v>24600000</v>
      </c>
      <c r="J323" s="3">
        <v>246000</v>
      </c>
      <c r="K323" s="3">
        <v>24354000</v>
      </c>
      <c r="L323" s="2" t="s">
        <v>38</v>
      </c>
      <c r="M323" s="2" t="s">
        <v>22</v>
      </c>
      <c r="N323" s="2" t="s">
        <v>30</v>
      </c>
    </row>
    <row r="324" spans="1:14">
      <c r="A324" s="2" t="s">
        <v>583</v>
      </c>
      <c r="B324" s="2" t="s">
        <v>140</v>
      </c>
      <c r="C324" s="2" t="s">
        <v>148</v>
      </c>
      <c r="D324" s="2" t="s">
        <v>27</v>
      </c>
      <c r="E324" s="2" t="s">
        <v>584</v>
      </c>
      <c r="F324" s="2" t="s">
        <v>142</v>
      </c>
      <c r="G324" s="2" t="s">
        <v>143</v>
      </c>
      <c r="H324" s="2">
        <v>1</v>
      </c>
      <c r="I324" s="3">
        <v>18900000</v>
      </c>
      <c r="J324" s="3">
        <v>378000</v>
      </c>
      <c r="K324" s="3">
        <v>18522000</v>
      </c>
      <c r="L324" s="2" t="s">
        <v>29</v>
      </c>
      <c r="M324" s="2" t="s">
        <v>22</v>
      </c>
      <c r="N324" s="2" t="s">
        <v>23</v>
      </c>
    </row>
    <row r="325" spans="1:14">
      <c r="A325" s="2" t="s">
        <v>585</v>
      </c>
      <c r="B325" s="2" t="s">
        <v>140</v>
      </c>
      <c r="C325" s="2" t="s">
        <v>148</v>
      </c>
      <c r="D325" s="2" t="s">
        <v>58</v>
      </c>
      <c r="E325" s="2" t="s">
        <v>507</v>
      </c>
      <c r="F325" s="2" t="s">
        <v>99</v>
      </c>
      <c r="G325" s="2" t="s">
        <v>100</v>
      </c>
      <c r="H325" s="2">
        <v>1</v>
      </c>
      <c r="I325" s="3">
        <v>29800000</v>
      </c>
      <c r="J325" s="3">
        <v>1490000</v>
      </c>
      <c r="K325" s="3">
        <v>28310000</v>
      </c>
      <c r="L325" s="2" t="s">
        <v>21</v>
      </c>
      <c r="M325" s="2" t="s">
        <v>22</v>
      </c>
      <c r="N325" s="2" t="s">
        <v>39</v>
      </c>
    </row>
    <row r="326" spans="1:14">
      <c r="A326" s="2" t="s">
        <v>586</v>
      </c>
      <c r="B326" s="2" t="s">
        <v>64</v>
      </c>
      <c r="C326" s="2" t="s">
        <v>71</v>
      </c>
      <c r="D326" s="2" t="s">
        <v>17</v>
      </c>
      <c r="E326" s="2" t="s">
        <v>146</v>
      </c>
      <c r="F326" s="2" t="s">
        <v>152</v>
      </c>
      <c r="G326" s="2" t="s">
        <v>153</v>
      </c>
      <c r="H326" s="2">
        <v>1</v>
      </c>
      <c r="I326" s="3">
        <v>27400000</v>
      </c>
      <c r="J326" s="3">
        <v>548000</v>
      </c>
      <c r="K326" s="3">
        <v>26852000</v>
      </c>
      <c r="L326" s="2" t="s">
        <v>62</v>
      </c>
      <c r="M326" s="2" t="s">
        <v>22</v>
      </c>
      <c r="N326" s="2" t="s">
        <v>77</v>
      </c>
    </row>
    <row r="327" spans="1:14">
      <c r="A327" s="2" t="s">
        <v>587</v>
      </c>
      <c r="B327" s="2" t="s">
        <v>25</v>
      </c>
      <c r="C327" s="2" t="s">
        <v>155</v>
      </c>
      <c r="D327" s="2" t="s">
        <v>49</v>
      </c>
      <c r="E327" s="2" t="s">
        <v>551</v>
      </c>
      <c r="F327" s="2" t="s">
        <v>91</v>
      </c>
      <c r="G327" s="2" t="s">
        <v>92</v>
      </c>
      <c r="H327" s="2">
        <v>1</v>
      </c>
      <c r="I327" s="3">
        <v>26900000</v>
      </c>
      <c r="J327" s="3">
        <v>269000</v>
      </c>
      <c r="K327" s="3">
        <v>26631000</v>
      </c>
      <c r="L327" s="2" t="s">
        <v>46</v>
      </c>
      <c r="M327" s="2" t="s">
        <v>22</v>
      </c>
      <c r="N327" s="2" t="s">
        <v>30</v>
      </c>
    </row>
    <row r="328" spans="1:14">
      <c r="A328" s="2" t="s">
        <v>588</v>
      </c>
      <c r="B328" s="2" t="s">
        <v>15</v>
      </c>
      <c r="C328" s="2" t="s">
        <v>16</v>
      </c>
      <c r="D328" s="2" t="s">
        <v>34</v>
      </c>
      <c r="E328" s="2" t="s">
        <v>482</v>
      </c>
      <c r="F328" s="2" t="s">
        <v>152</v>
      </c>
      <c r="G328" s="2" t="s">
        <v>153</v>
      </c>
      <c r="H328" s="2">
        <v>1</v>
      </c>
      <c r="I328" s="3">
        <v>27400000</v>
      </c>
      <c r="J328" s="3">
        <v>548000</v>
      </c>
      <c r="K328" s="3">
        <v>26852000</v>
      </c>
      <c r="L328" s="2" t="s">
        <v>21</v>
      </c>
      <c r="M328" s="2" t="s">
        <v>22</v>
      </c>
      <c r="N328" s="2" t="s">
        <v>77</v>
      </c>
    </row>
    <row r="329" spans="1:14">
      <c r="A329" s="2" t="s">
        <v>589</v>
      </c>
      <c r="B329" s="2" t="s">
        <v>108</v>
      </c>
      <c r="C329" s="2" t="s">
        <v>470</v>
      </c>
      <c r="D329" s="2" t="s">
        <v>145</v>
      </c>
      <c r="E329" s="2" t="s">
        <v>590</v>
      </c>
      <c r="F329" s="2" t="s">
        <v>19</v>
      </c>
      <c r="G329" s="2" t="s">
        <v>20</v>
      </c>
      <c r="H329" s="2">
        <v>1</v>
      </c>
      <c r="I329" s="3">
        <v>33500000</v>
      </c>
      <c r="J329" s="3">
        <v>0</v>
      </c>
      <c r="K329" s="3">
        <v>33500000</v>
      </c>
      <c r="L329" s="2" t="s">
        <v>46</v>
      </c>
      <c r="M329" s="2" t="s">
        <v>22</v>
      </c>
      <c r="N329" s="2" t="s">
        <v>39</v>
      </c>
    </row>
    <row r="330" spans="1:14">
      <c r="A330" s="2" t="s">
        <v>591</v>
      </c>
      <c r="B330" s="2" t="s">
        <v>57</v>
      </c>
      <c r="C330" s="2" t="s">
        <v>65</v>
      </c>
      <c r="D330" s="2" t="s">
        <v>145</v>
      </c>
      <c r="E330" s="2" t="s">
        <v>136</v>
      </c>
      <c r="F330" s="2" t="s">
        <v>99</v>
      </c>
      <c r="G330" s="2" t="s">
        <v>100</v>
      </c>
      <c r="H330" s="2">
        <v>1</v>
      </c>
      <c r="I330" s="3">
        <v>29800000</v>
      </c>
      <c r="J330" s="3">
        <v>298000</v>
      </c>
      <c r="K330" s="3">
        <v>29502000</v>
      </c>
      <c r="L330" s="2" t="s">
        <v>29</v>
      </c>
      <c r="M330" s="2" t="s">
        <v>22</v>
      </c>
      <c r="N330" s="2" t="s">
        <v>77</v>
      </c>
    </row>
    <row r="331" spans="1:14">
      <c r="A331" s="2" t="s">
        <v>592</v>
      </c>
      <c r="B331" s="2" t="s">
        <v>15</v>
      </c>
      <c r="C331" s="2" t="s">
        <v>112</v>
      </c>
      <c r="D331" s="2" t="s">
        <v>145</v>
      </c>
      <c r="E331" s="2" t="s">
        <v>329</v>
      </c>
      <c r="F331" s="2" t="s">
        <v>99</v>
      </c>
      <c r="G331" s="2" t="s">
        <v>100</v>
      </c>
      <c r="H331" s="2">
        <v>1</v>
      </c>
      <c r="I331" s="3">
        <v>29800000</v>
      </c>
      <c r="J331" s="3">
        <v>298000</v>
      </c>
      <c r="K331" s="3">
        <v>29502000</v>
      </c>
      <c r="L331" s="2" t="s">
        <v>62</v>
      </c>
      <c r="M331" s="2" t="s">
        <v>22</v>
      </c>
      <c r="N331" s="2" t="s">
        <v>39</v>
      </c>
    </row>
    <row r="332" spans="1:14">
      <c r="A332" s="2" t="s">
        <v>593</v>
      </c>
      <c r="B332" s="2" t="s">
        <v>111</v>
      </c>
      <c r="C332" s="2" t="s">
        <v>65</v>
      </c>
      <c r="D332" s="2" t="s">
        <v>49</v>
      </c>
      <c r="E332" s="2" t="s">
        <v>133</v>
      </c>
      <c r="F332" s="2" t="s">
        <v>19</v>
      </c>
      <c r="G332" s="2" t="s">
        <v>20</v>
      </c>
      <c r="H332" s="2">
        <v>1</v>
      </c>
      <c r="I332" s="3">
        <v>33500000</v>
      </c>
      <c r="J332" s="3">
        <v>335000</v>
      </c>
      <c r="K332" s="3">
        <v>33165000</v>
      </c>
      <c r="L332" s="2" t="s">
        <v>21</v>
      </c>
      <c r="M332" s="2" t="s">
        <v>22</v>
      </c>
      <c r="N332" s="2" t="s">
        <v>23</v>
      </c>
    </row>
    <row r="333" spans="1:14">
      <c r="A333" s="2" t="s">
        <v>594</v>
      </c>
      <c r="B333" s="2" t="s">
        <v>25</v>
      </c>
      <c r="C333" s="2" t="s">
        <v>65</v>
      </c>
      <c r="D333" s="2" t="s">
        <v>49</v>
      </c>
      <c r="E333" s="2" t="s">
        <v>595</v>
      </c>
      <c r="F333" s="2" t="s">
        <v>142</v>
      </c>
      <c r="G333" s="2" t="s">
        <v>143</v>
      </c>
      <c r="H333" s="2">
        <v>1</v>
      </c>
      <c r="I333" s="3">
        <v>18900000</v>
      </c>
      <c r="J333" s="3">
        <v>0</v>
      </c>
      <c r="K333" s="3">
        <v>18900000</v>
      </c>
      <c r="L333" s="2" t="s">
        <v>46</v>
      </c>
      <c r="M333" s="2" t="s">
        <v>22</v>
      </c>
      <c r="N333" s="2" t="s">
        <v>30</v>
      </c>
    </row>
    <row r="334" spans="1:14">
      <c r="A334" s="2" t="s">
        <v>596</v>
      </c>
      <c r="B334" s="2" t="s">
        <v>102</v>
      </c>
      <c r="C334" s="2" t="s">
        <v>65</v>
      </c>
      <c r="D334" s="2" t="s">
        <v>75</v>
      </c>
      <c r="E334" s="2" t="s">
        <v>190</v>
      </c>
      <c r="F334" s="2" t="s">
        <v>99</v>
      </c>
      <c r="G334" s="2" t="s">
        <v>100</v>
      </c>
      <c r="H334" s="2">
        <v>1</v>
      </c>
      <c r="I334" s="3">
        <v>29800000</v>
      </c>
      <c r="J334" s="3">
        <v>596000</v>
      </c>
      <c r="K334" s="3">
        <v>29204000</v>
      </c>
      <c r="L334" s="2" t="s">
        <v>29</v>
      </c>
      <c r="M334" s="2" t="s">
        <v>22</v>
      </c>
      <c r="N334" s="2" t="s">
        <v>39</v>
      </c>
    </row>
    <row r="335" spans="1:14">
      <c r="A335" s="2" t="s">
        <v>597</v>
      </c>
      <c r="B335" s="2" t="s">
        <v>108</v>
      </c>
      <c r="C335" s="2" t="s">
        <v>182</v>
      </c>
      <c r="D335" s="2" t="s">
        <v>49</v>
      </c>
      <c r="E335" s="2" t="s">
        <v>232</v>
      </c>
      <c r="F335" s="2" t="s">
        <v>142</v>
      </c>
      <c r="G335" s="2" t="s">
        <v>143</v>
      </c>
      <c r="H335" s="2">
        <v>1</v>
      </c>
      <c r="I335" s="3">
        <v>18900000</v>
      </c>
      <c r="J335" s="3">
        <v>945000</v>
      </c>
      <c r="K335" s="3">
        <v>0</v>
      </c>
      <c r="L335" s="2" t="s">
        <v>62</v>
      </c>
      <c r="M335" s="2" t="s">
        <v>22</v>
      </c>
      <c r="N335" s="2" t="s">
        <v>23</v>
      </c>
    </row>
    <row r="336" spans="1:14">
      <c r="A336" s="2" t="s">
        <v>598</v>
      </c>
      <c r="B336" s="2" t="s">
        <v>108</v>
      </c>
      <c r="C336" s="2" t="s">
        <v>48</v>
      </c>
      <c r="D336" s="2" t="s">
        <v>201</v>
      </c>
      <c r="E336" s="2" t="s">
        <v>476</v>
      </c>
      <c r="F336" s="2" t="s">
        <v>152</v>
      </c>
      <c r="G336" s="2" t="s">
        <v>153</v>
      </c>
      <c r="H336" s="2">
        <v>1</v>
      </c>
      <c r="I336" s="3">
        <v>27400000</v>
      </c>
      <c r="J336" s="3">
        <v>548000</v>
      </c>
      <c r="K336" s="3">
        <v>26852000</v>
      </c>
      <c r="L336" s="2" t="s">
        <v>21</v>
      </c>
      <c r="M336" s="2" t="s">
        <v>22</v>
      </c>
      <c r="N336" s="2" t="s">
        <v>23</v>
      </c>
    </row>
    <row r="337" spans="1:14">
      <c r="A337" s="2" t="s">
        <v>599</v>
      </c>
      <c r="B337" s="2" t="s">
        <v>125</v>
      </c>
      <c r="C337" s="2" t="s">
        <v>112</v>
      </c>
      <c r="D337" s="2" t="s">
        <v>34</v>
      </c>
      <c r="E337" s="2" t="s">
        <v>59</v>
      </c>
      <c r="F337" s="2" t="s">
        <v>142</v>
      </c>
      <c r="G337" s="2" t="s">
        <v>143</v>
      </c>
      <c r="H337" s="2">
        <v>1</v>
      </c>
      <c r="I337" s="3">
        <v>18900000</v>
      </c>
      <c r="J337" s="3">
        <v>378000</v>
      </c>
      <c r="K337" s="3">
        <v>18522000</v>
      </c>
      <c r="L337" s="2" t="s">
        <v>38</v>
      </c>
      <c r="M337" s="2" t="s">
        <v>22</v>
      </c>
      <c r="N337" s="2" t="s">
        <v>39</v>
      </c>
    </row>
    <row r="338" spans="1:14">
      <c r="A338" s="2" t="s">
        <v>600</v>
      </c>
      <c r="B338" s="2" t="s">
        <v>162</v>
      </c>
      <c r="C338" s="2" t="s">
        <v>85</v>
      </c>
      <c r="D338" s="2" t="s">
        <v>201</v>
      </c>
      <c r="E338" s="2" t="s">
        <v>183</v>
      </c>
      <c r="F338" s="2" t="s">
        <v>99</v>
      </c>
      <c r="G338" s="2" t="s">
        <v>100</v>
      </c>
      <c r="H338" s="2">
        <v>1</v>
      </c>
      <c r="I338" s="3">
        <v>29800000</v>
      </c>
      <c r="J338" s="3">
        <v>0</v>
      </c>
      <c r="K338" s="3">
        <v>29800000</v>
      </c>
      <c r="L338" s="2" t="s">
        <v>38</v>
      </c>
      <c r="M338" s="2" t="s">
        <v>22</v>
      </c>
      <c r="N338" s="2" t="s">
        <v>23</v>
      </c>
    </row>
    <row r="339" spans="1:14">
      <c r="A339" s="2" t="s">
        <v>601</v>
      </c>
      <c r="B339" s="2" t="s">
        <v>122</v>
      </c>
      <c r="C339" s="2" t="s">
        <v>26</v>
      </c>
      <c r="D339" s="2" t="s">
        <v>98</v>
      </c>
      <c r="E339" s="2" t="s">
        <v>349</v>
      </c>
      <c r="F339" s="2" t="s">
        <v>152</v>
      </c>
      <c r="G339" s="2" t="s">
        <v>153</v>
      </c>
      <c r="H339" s="2">
        <v>1</v>
      </c>
      <c r="I339" s="3">
        <v>27400000</v>
      </c>
      <c r="J339" s="3">
        <v>0</v>
      </c>
      <c r="K339" s="3">
        <v>27400000</v>
      </c>
      <c r="L339" s="2" t="s">
        <v>46</v>
      </c>
      <c r="M339" s="2" t="s">
        <v>22</v>
      </c>
      <c r="N339" s="2" t="s">
        <v>30</v>
      </c>
    </row>
    <row r="340" spans="1:14">
      <c r="A340" s="2" t="s">
        <v>602</v>
      </c>
      <c r="B340" s="2" t="s">
        <v>15</v>
      </c>
      <c r="C340" s="2" t="s">
        <v>112</v>
      </c>
      <c r="D340" s="2" t="s">
        <v>80</v>
      </c>
      <c r="E340" s="2" t="s">
        <v>127</v>
      </c>
      <c r="F340" s="2" t="s">
        <v>60</v>
      </c>
      <c r="G340" s="2" t="s">
        <v>61</v>
      </c>
      <c r="H340" s="2">
        <v>1</v>
      </c>
      <c r="I340" s="3">
        <v>21500000</v>
      </c>
      <c r="J340" s="3">
        <v>215000</v>
      </c>
      <c r="K340" s="3">
        <v>21285000</v>
      </c>
      <c r="L340" s="2" t="s">
        <v>62</v>
      </c>
      <c r="M340" s="2" t="s">
        <v>22</v>
      </c>
      <c r="N340" s="2" t="s">
        <v>77</v>
      </c>
    </row>
    <row r="341" spans="1:14">
      <c r="A341" s="2" t="s">
        <v>446</v>
      </c>
      <c r="B341" s="2" t="s">
        <v>32</v>
      </c>
      <c r="C341" s="2" t="s">
        <v>85</v>
      </c>
      <c r="D341" s="2" t="s">
        <v>113</v>
      </c>
      <c r="E341" s="2" t="s">
        <v>437</v>
      </c>
      <c r="F341" s="2" t="s">
        <v>142</v>
      </c>
      <c r="G341" s="2" t="s">
        <v>143</v>
      </c>
      <c r="H341" s="2">
        <v>1</v>
      </c>
      <c r="I341" s="3">
        <v>18900000</v>
      </c>
      <c r="J341" s="3">
        <v>567000</v>
      </c>
      <c r="K341" s="3">
        <v>18333000</v>
      </c>
      <c r="L341" s="2" t="s">
        <v>38</v>
      </c>
      <c r="M341" s="2" t="s">
        <v>22</v>
      </c>
      <c r="N341" s="2" t="s">
        <v>39</v>
      </c>
    </row>
    <row r="342" spans="1:14">
      <c r="A342" s="2" t="s">
        <v>603</v>
      </c>
      <c r="B342" s="2" t="s">
        <v>25</v>
      </c>
      <c r="C342" s="2" t="s">
        <v>155</v>
      </c>
      <c r="D342" s="2" t="s">
        <v>130</v>
      </c>
      <c r="E342" s="2" t="s">
        <v>240</v>
      </c>
      <c r="F342" s="2" t="s">
        <v>99</v>
      </c>
      <c r="G342" s="2" t="s">
        <v>100</v>
      </c>
      <c r="H342" s="2">
        <v>1</v>
      </c>
      <c r="I342" s="3">
        <v>29800000</v>
      </c>
      <c r="J342" s="3">
        <v>0</v>
      </c>
      <c r="K342" s="3">
        <v>29800000</v>
      </c>
      <c r="L342" s="2" t="s">
        <v>21</v>
      </c>
      <c r="M342" s="2" t="s">
        <v>22</v>
      </c>
      <c r="N342" s="2" t="s">
        <v>23</v>
      </c>
    </row>
    <row r="343" spans="1:14">
      <c r="A343" s="2" t="s">
        <v>604</v>
      </c>
      <c r="B343" s="2" t="s">
        <v>140</v>
      </c>
      <c r="C343" s="2" t="s">
        <v>85</v>
      </c>
      <c r="D343" s="2" t="s">
        <v>130</v>
      </c>
      <c r="E343" s="2" t="s">
        <v>116</v>
      </c>
      <c r="F343" s="2" t="s">
        <v>99</v>
      </c>
      <c r="G343" s="2" t="s">
        <v>100</v>
      </c>
      <c r="H343" s="2">
        <v>1</v>
      </c>
      <c r="I343" s="3">
        <v>29800000</v>
      </c>
      <c r="J343" s="3">
        <v>0</v>
      </c>
      <c r="K343" s="3">
        <v>29800000</v>
      </c>
      <c r="L343" s="2" t="s">
        <v>46</v>
      </c>
      <c r="M343" s="2" t="s">
        <v>82</v>
      </c>
      <c r="N343" s="2" t="s">
        <v>30</v>
      </c>
    </row>
    <row r="344" spans="1:14">
      <c r="A344" s="2" t="s">
        <v>605</v>
      </c>
      <c r="B344" s="2" t="s">
        <v>32</v>
      </c>
      <c r="C344" s="2" t="s">
        <v>85</v>
      </c>
      <c r="D344" s="2" t="s">
        <v>17</v>
      </c>
      <c r="E344" s="2" t="s">
        <v>606</v>
      </c>
      <c r="F344" s="2" t="s">
        <v>19</v>
      </c>
      <c r="G344" s="2" t="s">
        <v>20</v>
      </c>
      <c r="H344" s="2">
        <v>1</v>
      </c>
      <c r="I344" s="3">
        <v>33500000</v>
      </c>
      <c r="J344" s="3">
        <v>1005000</v>
      </c>
      <c r="K344" s="3">
        <v>32495000</v>
      </c>
      <c r="L344" s="2" t="s">
        <v>29</v>
      </c>
      <c r="M344" s="2" t="s">
        <v>22</v>
      </c>
      <c r="N344" s="2" t="s">
        <v>77</v>
      </c>
    </row>
    <row r="345" spans="1:14">
      <c r="A345" s="2" t="s">
        <v>607</v>
      </c>
      <c r="B345" s="2" t="s">
        <v>211</v>
      </c>
      <c r="C345" s="2" t="s">
        <v>155</v>
      </c>
      <c r="D345" s="2" t="s">
        <v>72</v>
      </c>
      <c r="E345" s="2" t="s">
        <v>540</v>
      </c>
      <c r="F345" s="2" t="s">
        <v>19</v>
      </c>
      <c r="G345" s="2" t="s">
        <v>20</v>
      </c>
      <c r="H345" s="2">
        <v>1</v>
      </c>
      <c r="I345" s="3">
        <v>33500000</v>
      </c>
      <c r="J345" s="3">
        <v>0</v>
      </c>
      <c r="K345" s="3">
        <v>33500000</v>
      </c>
      <c r="L345" s="2" t="s">
        <v>21</v>
      </c>
      <c r="M345" s="2" t="s">
        <v>22</v>
      </c>
      <c r="N345" s="2" t="s">
        <v>77</v>
      </c>
    </row>
    <row r="346" spans="1:14">
      <c r="A346" s="2" t="s">
        <v>608</v>
      </c>
      <c r="B346" s="2" t="s">
        <v>162</v>
      </c>
      <c r="C346" s="2" t="s">
        <v>182</v>
      </c>
      <c r="D346" s="2" t="s">
        <v>66</v>
      </c>
      <c r="E346" s="2" t="s">
        <v>609</v>
      </c>
      <c r="F346" s="2" t="s">
        <v>91</v>
      </c>
      <c r="G346" s="2" t="s">
        <v>92</v>
      </c>
      <c r="H346" s="2">
        <v>1</v>
      </c>
      <c r="I346" s="3">
        <v>26900000</v>
      </c>
      <c r="J346" s="3">
        <v>538000</v>
      </c>
      <c r="K346" s="3">
        <v>26362000</v>
      </c>
      <c r="L346" s="2" t="s">
        <v>62</v>
      </c>
      <c r="M346" s="2" t="s">
        <v>22</v>
      </c>
      <c r="N346" s="2" t="s">
        <v>39</v>
      </c>
    </row>
    <row r="347" spans="1:14">
      <c r="A347" s="2" t="s">
        <v>610</v>
      </c>
      <c r="B347" s="2" t="s">
        <v>15</v>
      </c>
      <c r="C347" s="2" t="s">
        <v>48</v>
      </c>
      <c r="D347" s="2" t="s">
        <v>98</v>
      </c>
      <c r="E347" s="2" t="s">
        <v>381</v>
      </c>
      <c r="F347" s="2" t="s">
        <v>68</v>
      </c>
      <c r="G347" s="2" t="s">
        <v>69</v>
      </c>
      <c r="H347" s="2">
        <v>1</v>
      </c>
      <c r="I347" s="3">
        <v>17800000</v>
      </c>
      <c r="J347" s="3">
        <v>0</v>
      </c>
      <c r="K347" s="3">
        <v>17800000</v>
      </c>
      <c r="L347" s="2" t="s">
        <v>46</v>
      </c>
      <c r="M347" s="2" t="s">
        <v>22</v>
      </c>
      <c r="N347" s="2" t="s">
        <v>77</v>
      </c>
    </row>
    <row r="348" spans="1:14">
      <c r="A348" s="2" t="s">
        <v>56</v>
      </c>
      <c r="B348" s="2" t="s">
        <v>57</v>
      </c>
      <c r="C348" s="2" t="s">
        <v>16</v>
      </c>
      <c r="D348" s="2" t="s">
        <v>58</v>
      </c>
      <c r="E348" s="2" t="s">
        <v>59</v>
      </c>
      <c r="F348" s="2" t="s">
        <v>60</v>
      </c>
      <c r="G348" s="2" t="s">
        <v>61</v>
      </c>
      <c r="H348" s="2">
        <v>1</v>
      </c>
      <c r="I348" s="3">
        <v>21500000</v>
      </c>
      <c r="J348" s="3">
        <v>645000</v>
      </c>
      <c r="K348" s="3">
        <v>20855000</v>
      </c>
      <c r="L348" s="2" t="s">
        <v>62</v>
      </c>
      <c r="M348" s="2" t="s">
        <v>22</v>
      </c>
      <c r="N348" s="2" t="s">
        <v>30</v>
      </c>
    </row>
    <row r="349" spans="1:14">
      <c r="A349" s="2" t="s">
        <v>611</v>
      </c>
      <c r="B349" s="2" t="s">
        <v>15</v>
      </c>
      <c r="C349" s="2" t="s">
        <v>71</v>
      </c>
      <c r="D349" s="2" t="s">
        <v>126</v>
      </c>
      <c r="E349" s="2" t="s">
        <v>476</v>
      </c>
      <c r="F349" s="2" t="s">
        <v>19</v>
      </c>
      <c r="G349" s="2" t="s">
        <v>20</v>
      </c>
      <c r="H349" s="2">
        <v>1</v>
      </c>
      <c r="I349" s="3">
        <v>33500000</v>
      </c>
      <c r="J349" s="3">
        <v>670000</v>
      </c>
      <c r="K349" s="3">
        <v>32830000</v>
      </c>
      <c r="L349" s="2" t="s">
        <v>38</v>
      </c>
      <c r="M349" s="2" t="s">
        <v>22</v>
      </c>
      <c r="N349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2"/>
  <sheetViews>
    <sheetView zoomScale="85" zoomScaleNormal="85" workbookViewId="0">
      <pane ySplit="1" topLeftCell="A320" activePane="bottomLeft" state="frozen"/>
      <selection pane="bottomLeft" activeCell="D320" sqref="D320"/>
    </sheetView>
  </sheetViews>
  <sheetFormatPr defaultRowHeight="14.5"/>
  <cols>
    <col min="1" max="1" width="16" customWidth="1"/>
    <col min="2" max="3" width="14" customWidth="1"/>
    <col min="4" max="4" width="14" style="6" customWidth="1"/>
    <col min="5" max="8" width="17" customWidth="1"/>
    <col min="9" max="9" width="18" customWidth="1"/>
    <col min="10" max="10" width="20.26953125" customWidth="1"/>
    <col min="11" max="12" width="14" customWidth="1"/>
    <col min="13" max="13" width="10" customWidth="1"/>
    <col min="14" max="14" width="12" customWidth="1"/>
    <col min="15" max="15" width="10" customWidth="1"/>
    <col min="16" max="16" width="13" customWidth="1"/>
    <col min="17" max="17" width="14.453125" customWidth="1"/>
    <col min="18" max="18" width="24" customWidth="1"/>
    <col min="19" max="19" width="16" customWidth="1"/>
    <col min="20" max="20" width="18" customWidth="1"/>
    <col min="21" max="21" width="14.81640625" bestFit="1" customWidth="1"/>
  </cols>
  <sheetData>
    <row r="1" spans="1:21">
      <c r="A1" s="1" t="s">
        <v>0</v>
      </c>
      <c r="B1" s="1" t="s">
        <v>1</v>
      </c>
      <c r="C1" s="1" t="s">
        <v>667</v>
      </c>
      <c r="D1" s="4" t="s">
        <v>666</v>
      </c>
      <c r="E1" s="1" t="s">
        <v>2</v>
      </c>
      <c r="F1" s="1" t="s">
        <v>663</v>
      </c>
      <c r="G1" s="1" t="s">
        <v>3</v>
      </c>
      <c r="H1" s="1" t="s">
        <v>664</v>
      </c>
      <c r="I1" s="1" t="s">
        <v>4</v>
      </c>
      <c r="J1" s="1" t="s">
        <v>665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668</v>
      </c>
      <c r="R1" s="1" t="s">
        <v>11</v>
      </c>
      <c r="S1" s="1" t="s">
        <v>12</v>
      </c>
      <c r="T1" s="1" t="s">
        <v>13</v>
      </c>
      <c r="U1" s="1" t="s">
        <v>662</v>
      </c>
    </row>
    <row r="2" spans="1:21">
      <c r="A2" s="2" t="s">
        <v>14</v>
      </c>
      <c r="B2" s="2" t="s">
        <v>15</v>
      </c>
      <c r="C2" s="2" t="str">
        <f>SUBSTITUTE(SUBSTITUTE(SUBSTITUTE(SUBSTITUTE(SUBSTITUTE(SUBSTITUTE(SUBSTITUTE(SUBSTITUTE(SUBSTITUTE(SUBSTITUTE(SUBSTITUTE(SUBSTITUTE(B2," Januari ","/01/")," Februari ","/02/")," Maret ","/03/")," April ","/04/")," Mei ","/05/")," Juni ","/06/")," Juli ","/07/")," Agustus ","/08/")," September ","/09/")," Oktober ","/10/")," November ","/11/")," Desember ","/12/")</f>
        <v>2026-07-14</v>
      </c>
      <c r="D2" s="5">
        <f>IFERROR(DATE(VALUE(LEFT(C2,4)),VALUE(MID(C2,6,2)),VALUE(RIGHT(C2,2))),DATE(VALUE(RIGHT(C2,4)),VALUE(MID(C2,4,2)),VALUE(LEFT(C2,2))))</f>
        <v>46217</v>
      </c>
      <c r="E2" s="2" t="s">
        <v>16</v>
      </c>
      <c r="F2" s="2" t="str">
        <f>PROPER(TRIM(SUBSTITUTE(SUBSTITUTE(E2,"Jaksel","Jakarta Selatan"),"Tangerang Kota","Tangerang")))</f>
        <v>Cibubur</v>
      </c>
      <c r="G2" s="2" t="s">
        <v>17</v>
      </c>
      <c r="H2" s="2" t="str">
        <f>IF(G2="","Unknown",G2)</f>
        <v>Taufik Hidayat</v>
      </c>
      <c r="I2" s="2" t="s">
        <v>18</v>
      </c>
      <c r="J2" s="2" t="str">
        <f>IF(I2="","Unknown",I2)</f>
        <v>Galih Ramadhan</v>
      </c>
      <c r="K2" s="2" t="s">
        <v>19</v>
      </c>
      <c r="L2" s="2" t="s">
        <v>20</v>
      </c>
      <c r="M2" s="2">
        <v>1</v>
      </c>
      <c r="N2" s="3">
        <v>33500000</v>
      </c>
      <c r="O2" s="3">
        <v>1675000</v>
      </c>
      <c r="P2" s="3">
        <v>31825000</v>
      </c>
      <c r="Q2" s="3" t="str">
        <f>IF(P2=0,"Batal/Refund","Normal")</f>
        <v>Normal</v>
      </c>
      <c r="R2" s="2" t="s">
        <v>21</v>
      </c>
      <c r="S2" s="2" t="s">
        <v>22</v>
      </c>
      <c r="T2" s="2" t="s">
        <v>23</v>
      </c>
      <c r="U2">
        <f t="shared" ref="U2:U65" si="0">COUNTIF($A$2:$A$342,A2)</f>
        <v>1</v>
      </c>
    </row>
    <row r="3" spans="1:21">
      <c r="A3" s="2" t="s">
        <v>24</v>
      </c>
      <c r="B3" s="2" t="s">
        <v>25</v>
      </c>
      <c r="C3" s="2" t="str">
        <f t="shared" ref="C3:C7" si="1">SUBSTITUTE(SUBSTITUTE(SUBSTITUTE(SUBSTITUTE(SUBSTITUTE(SUBSTITUTE(SUBSTITUTE(SUBSTITUTE(SUBSTITUTE(SUBSTITUTE(SUBSTITUTE(SUBSTITUTE(B3," Januari ","/01/")," Februari ","/02/")," Maret ","/03/")," April ","/04/")," Mei ","/05/")," Juni ","/06/")," Juli ","/07/")," Agustus ","/08/")," September ","/09/")," Oktober ","/10/")," November ","/11/")," Desember ","/12/")</f>
        <v>2026-07-16</v>
      </c>
      <c r="D3" s="5">
        <f t="shared" ref="D3:D7" si="2">IFERROR(DATE(VALUE(LEFT(C3,4)),VALUE(MID(C3,6,2)),VALUE(RIGHT(C3,2))),DATE(VALUE(RIGHT(C3,4)),VALUE(MID(C3,4,2)),VALUE(LEFT(C3,2))))</f>
        <v>46219</v>
      </c>
      <c r="E3" s="2" t="s">
        <v>26</v>
      </c>
      <c r="F3" s="2" t="str">
        <f t="shared" ref="F3:F7" si="3">PROPER(TRIM(SUBSTITUTE(SUBSTITUTE(E3,"Jaksel","Jakarta Selatan"),"Tangerang Kota","Tangerang")))</f>
        <v>Sukabumi</v>
      </c>
      <c r="G3" s="2" t="s">
        <v>27</v>
      </c>
      <c r="H3" s="2" t="str">
        <f t="shared" ref="H3:H7" si="4">IF(G3="","Unknown",G3)</f>
        <v>Vino Bastian G.</v>
      </c>
      <c r="I3" s="2" t="s">
        <v>28</v>
      </c>
      <c r="J3" s="2" t="str">
        <f t="shared" ref="J3:J7" si="5">IF(I3="","Unknown",I3)</f>
        <v>Made Ramadhan</v>
      </c>
      <c r="K3" s="2" t="s">
        <v>19</v>
      </c>
      <c r="L3" s="2" t="s">
        <v>20</v>
      </c>
      <c r="M3" s="2">
        <v>1</v>
      </c>
      <c r="N3" s="3">
        <v>33500000</v>
      </c>
      <c r="O3" s="3">
        <v>1005000</v>
      </c>
      <c r="P3" s="3">
        <v>32495000</v>
      </c>
      <c r="Q3" s="3" t="str">
        <f t="shared" ref="Q3:Q66" si="6">IF(P3=0,"Batal/Refund","Normal")</f>
        <v>Normal</v>
      </c>
      <c r="R3" s="2" t="s">
        <v>29</v>
      </c>
      <c r="S3" s="2" t="s">
        <v>22</v>
      </c>
      <c r="T3" s="2" t="s">
        <v>30</v>
      </c>
      <c r="U3">
        <f t="shared" si="0"/>
        <v>1</v>
      </c>
    </row>
    <row r="4" spans="1:21">
      <c r="A4" s="2" t="s">
        <v>31</v>
      </c>
      <c r="B4" s="2" t="s">
        <v>32</v>
      </c>
      <c r="C4" s="2" t="str">
        <f t="shared" si="1"/>
        <v>15/07/2026</v>
      </c>
      <c r="D4" s="5">
        <f t="shared" si="2"/>
        <v>46218</v>
      </c>
      <c r="E4" s="2" t="s">
        <v>33</v>
      </c>
      <c r="F4" s="2" t="str">
        <f t="shared" si="3"/>
        <v>Depok</v>
      </c>
      <c r="G4" s="2" t="s">
        <v>34</v>
      </c>
      <c r="H4" s="2" t="str">
        <f t="shared" si="4"/>
        <v>Joko Widodo S.</v>
      </c>
      <c r="I4" s="2" t="s">
        <v>35</v>
      </c>
      <c r="J4" s="2" t="str">
        <f t="shared" si="5"/>
        <v>Putra Hidayat</v>
      </c>
      <c r="K4" s="2" t="s">
        <v>36</v>
      </c>
      <c r="L4" s="2" t="s">
        <v>37</v>
      </c>
      <c r="M4" s="2">
        <v>1</v>
      </c>
      <c r="N4" s="3">
        <v>22300000</v>
      </c>
      <c r="O4" s="3">
        <v>669000</v>
      </c>
      <c r="P4" s="3">
        <v>21631000</v>
      </c>
      <c r="Q4" s="3" t="str">
        <f t="shared" si="6"/>
        <v>Normal</v>
      </c>
      <c r="R4" s="2" t="s">
        <v>38</v>
      </c>
      <c r="S4" s="2" t="s">
        <v>22</v>
      </c>
      <c r="T4" s="2" t="s">
        <v>39</v>
      </c>
      <c r="U4">
        <f t="shared" si="0"/>
        <v>1</v>
      </c>
    </row>
    <row r="5" spans="1:21">
      <c r="A5" s="2" t="s">
        <v>40</v>
      </c>
      <c r="B5" s="2" t="s">
        <v>41</v>
      </c>
      <c r="C5" s="2" t="str">
        <f t="shared" si="1"/>
        <v>15/07/2026</v>
      </c>
      <c r="D5" s="5">
        <f t="shared" si="2"/>
        <v>46218</v>
      </c>
      <c r="E5" s="2" t="s">
        <v>33</v>
      </c>
      <c r="F5" s="2" t="str">
        <f t="shared" si="3"/>
        <v>Depok</v>
      </c>
      <c r="G5" s="2" t="s">
        <v>42</v>
      </c>
      <c r="H5" s="2" t="str">
        <f t="shared" si="4"/>
        <v>Lina Marlina</v>
      </c>
      <c r="I5" s="2" t="s">
        <v>43</v>
      </c>
      <c r="J5" s="2" t="str">
        <f t="shared" si="5"/>
        <v>Hana Anggraini</v>
      </c>
      <c r="K5" s="2" t="s">
        <v>44</v>
      </c>
      <c r="L5" s="2" t="s">
        <v>45</v>
      </c>
      <c r="M5" s="2">
        <v>1</v>
      </c>
      <c r="N5" s="3">
        <v>24600000</v>
      </c>
      <c r="O5" s="3">
        <v>0</v>
      </c>
      <c r="P5" s="3">
        <v>24600000</v>
      </c>
      <c r="Q5" s="3" t="str">
        <f t="shared" si="6"/>
        <v>Normal</v>
      </c>
      <c r="R5" s="2" t="s">
        <v>46</v>
      </c>
      <c r="S5" s="2" t="s">
        <v>22</v>
      </c>
      <c r="T5" s="2" t="s">
        <v>30</v>
      </c>
      <c r="U5">
        <f t="shared" si="0"/>
        <v>1</v>
      </c>
    </row>
    <row r="6" spans="1:21">
      <c r="A6" s="2" t="s">
        <v>47</v>
      </c>
      <c r="B6" s="2" t="s">
        <v>41</v>
      </c>
      <c r="C6" s="2" t="str">
        <f t="shared" si="1"/>
        <v>15/07/2026</v>
      </c>
      <c r="D6" s="5">
        <f t="shared" si="2"/>
        <v>46218</v>
      </c>
      <c r="E6" s="2" t="s">
        <v>48</v>
      </c>
      <c r="F6" s="2" t="str">
        <f t="shared" si="3"/>
        <v>Jakarta Selatan</v>
      </c>
      <c r="G6" s="2" t="s">
        <v>49</v>
      </c>
      <c r="H6" s="2" t="str">
        <f t="shared" si="4"/>
        <v>Fajar Nugraha</v>
      </c>
      <c r="I6" s="2" t="s">
        <v>50</v>
      </c>
      <c r="J6" s="2" t="str">
        <f t="shared" si="5"/>
        <v>Putra Saputra</v>
      </c>
      <c r="K6" s="2" t="s">
        <v>51</v>
      </c>
      <c r="L6" s="2" t="s">
        <v>52</v>
      </c>
      <c r="M6" s="2">
        <v>1</v>
      </c>
      <c r="N6" s="3">
        <v>41000000</v>
      </c>
      <c r="O6" s="3">
        <v>0</v>
      </c>
      <c r="P6" s="3">
        <v>41000000</v>
      </c>
      <c r="Q6" s="3" t="str">
        <f t="shared" si="6"/>
        <v>Normal</v>
      </c>
      <c r="R6" s="2" t="s">
        <v>29</v>
      </c>
      <c r="S6" s="2" t="s">
        <v>22</v>
      </c>
      <c r="T6" s="2" t="s">
        <v>30</v>
      </c>
      <c r="U6">
        <f t="shared" si="0"/>
        <v>1</v>
      </c>
    </row>
    <row r="7" spans="1:21">
      <c r="A7" s="2" t="s">
        <v>53</v>
      </c>
      <c r="B7" s="2" t="s">
        <v>15</v>
      </c>
      <c r="C7" s="2" t="str">
        <f t="shared" si="1"/>
        <v>2026-07-14</v>
      </c>
      <c r="D7" s="5">
        <f t="shared" si="2"/>
        <v>46217</v>
      </c>
      <c r="E7" s="2" t="s">
        <v>26</v>
      </c>
      <c r="F7" s="2" t="str">
        <f t="shared" si="3"/>
        <v>Sukabumi</v>
      </c>
      <c r="G7" s="2" t="s">
        <v>54</v>
      </c>
      <c r="H7" s="2" t="str">
        <f t="shared" si="4"/>
        <v>Hadi Santoso</v>
      </c>
      <c r="I7" s="2" t="s">
        <v>55</v>
      </c>
      <c r="J7" s="2" t="str">
        <f t="shared" si="5"/>
        <v>Galih Kusuma</v>
      </c>
      <c r="K7" s="2" t="s">
        <v>19</v>
      </c>
      <c r="L7" s="2" t="s">
        <v>20</v>
      </c>
      <c r="M7" s="2">
        <v>1</v>
      </c>
      <c r="N7" s="3">
        <v>33500000</v>
      </c>
      <c r="O7" s="3">
        <v>1005000</v>
      </c>
      <c r="P7" s="3">
        <v>32495000</v>
      </c>
      <c r="Q7" s="3" t="str">
        <f t="shared" si="6"/>
        <v>Normal</v>
      </c>
      <c r="R7" s="2" t="s">
        <v>38</v>
      </c>
      <c r="S7" s="2" t="s">
        <v>22</v>
      </c>
      <c r="T7" s="2" t="s">
        <v>23</v>
      </c>
      <c r="U7">
        <f t="shared" si="0"/>
        <v>1</v>
      </c>
    </row>
    <row r="8" spans="1:21">
      <c r="A8" s="2" t="s">
        <v>348</v>
      </c>
      <c r="B8" s="2" t="s">
        <v>41</v>
      </c>
      <c r="C8" s="2" t="str">
        <f t="shared" ref="C8:C71" si="7">SUBSTITUTE(SUBSTITUTE(SUBSTITUTE(SUBSTITUTE(SUBSTITUTE(SUBSTITUTE(SUBSTITUTE(SUBSTITUTE(SUBSTITUTE(SUBSTITUTE(SUBSTITUTE(SUBSTITUTE(B8," Januari ","/01/")," Februari ","/02/")," Maret ","/03/")," April ","/04/")," Mei ","/05/")," Juni ","/06/")," Juli ","/07/")," Agustus ","/08/")," September ","/09/")," Oktober ","/10/")," November ","/11/")," Desember ","/12/")</f>
        <v>15/07/2026</v>
      </c>
      <c r="D8" s="5">
        <f t="shared" ref="D8:D71" si="8">IFERROR(DATE(VALUE(LEFT(C8,4)),VALUE(MID(C8,6,2)),VALUE(RIGHT(C8,2))),DATE(VALUE(RIGHT(C8,4)),VALUE(MID(C8,4,2)),VALUE(LEFT(C8,2))))</f>
        <v>46218</v>
      </c>
      <c r="E8" s="2" t="s">
        <v>182</v>
      </c>
      <c r="F8" s="2" t="str">
        <f t="shared" ref="F8:F71" si="9">PROPER(TRIM(SUBSTITUTE(SUBSTITUTE(E8,"Jaksel","Jakarta Selatan"),"Tangerang Kota","Tangerang")))</f>
        <v>Bogor</v>
      </c>
      <c r="G8" s="2" t="s">
        <v>113</v>
      </c>
      <c r="H8" s="2" t="str">
        <f t="shared" ref="H8:H71" si="10">IF(G8="","Unknown",G8)</f>
        <v>Lukman Hakim</v>
      </c>
      <c r="I8" s="2" t="s">
        <v>349</v>
      </c>
      <c r="J8" s="2" t="str">
        <f t="shared" ref="J8:J71" si="11">IF(I8="","Unknown",I8)</f>
        <v>Lala Firmansyah</v>
      </c>
      <c r="K8" s="2" t="s">
        <v>68</v>
      </c>
      <c r="L8" s="2" t="s">
        <v>69</v>
      </c>
      <c r="M8" s="2">
        <v>1</v>
      </c>
      <c r="N8" s="3">
        <v>17800000</v>
      </c>
      <c r="O8" s="3">
        <v>534000</v>
      </c>
      <c r="P8" s="3">
        <v>17266000</v>
      </c>
      <c r="Q8" s="3" t="str">
        <f t="shared" si="6"/>
        <v>Normal</v>
      </c>
      <c r="R8" s="2" t="s">
        <v>21</v>
      </c>
      <c r="S8" s="2" t="s">
        <v>22</v>
      </c>
      <c r="T8" s="2" t="s">
        <v>30</v>
      </c>
      <c r="U8">
        <f t="shared" si="0"/>
        <v>1</v>
      </c>
    </row>
    <row r="9" spans="1:21">
      <c r="A9" s="2" t="s">
        <v>63</v>
      </c>
      <c r="B9" s="2" t="s">
        <v>64</v>
      </c>
      <c r="C9" s="2" t="str">
        <f t="shared" si="7"/>
        <v>2026-07-13</v>
      </c>
      <c r="D9" s="5">
        <f t="shared" si="8"/>
        <v>46216</v>
      </c>
      <c r="E9" s="2" t="s">
        <v>65</v>
      </c>
      <c r="F9" s="2" t="str">
        <f t="shared" si="9"/>
        <v>Bandung</v>
      </c>
      <c r="G9" s="2" t="s">
        <v>66</v>
      </c>
      <c r="H9" s="2" t="str">
        <f t="shared" si="10"/>
        <v>Puji Lestari</v>
      </c>
      <c r="I9" s="2" t="s">
        <v>67</v>
      </c>
      <c r="J9" s="2" t="str">
        <f t="shared" si="11"/>
        <v>Oscar Wijaya</v>
      </c>
      <c r="K9" s="2" t="s">
        <v>68</v>
      </c>
      <c r="L9" s="2" t="s">
        <v>69</v>
      </c>
      <c r="M9" s="2">
        <v>1</v>
      </c>
      <c r="N9" s="3">
        <v>17800000</v>
      </c>
      <c r="O9" s="3">
        <v>890000</v>
      </c>
      <c r="P9" s="3">
        <v>16910000</v>
      </c>
      <c r="Q9" s="3" t="str">
        <f t="shared" si="6"/>
        <v>Normal</v>
      </c>
      <c r="R9" s="2" t="s">
        <v>29</v>
      </c>
      <c r="S9" s="2" t="s">
        <v>22</v>
      </c>
      <c r="T9" s="2" t="s">
        <v>30</v>
      </c>
      <c r="U9">
        <f t="shared" si="0"/>
        <v>1</v>
      </c>
    </row>
    <row r="10" spans="1:21">
      <c r="A10" s="2" t="s">
        <v>70</v>
      </c>
      <c r="B10" s="2" t="s">
        <v>25</v>
      </c>
      <c r="C10" s="2" t="str">
        <f t="shared" si="7"/>
        <v>2026-07-16</v>
      </c>
      <c r="D10" s="5">
        <f t="shared" si="8"/>
        <v>46219</v>
      </c>
      <c r="E10" s="2" t="s">
        <v>71</v>
      </c>
      <c r="F10" s="2" t="str">
        <f t="shared" si="9"/>
        <v>Bekasi</v>
      </c>
      <c r="G10" s="2" t="s">
        <v>72</v>
      </c>
      <c r="H10" s="2" t="str">
        <f t="shared" si="10"/>
        <v>Sari Dewi</v>
      </c>
      <c r="I10" s="2" t="s">
        <v>73</v>
      </c>
      <c r="J10" s="2" t="str">
        <f t="shared" si="11"/>
        <v>Made Wijaya</v>
      </c>
      <c r="K10" s="2" t="s">
        <v>19</v>
      </c>
      <c r="L10" s="2" t="s">
        <v>20</v>
      </c>
      <c r="M10" s="2">
        <v>1</v>
      </c>
      <c r="N10" s="3">
        <v>33500000</v>
      </c>
      <c r="O10" s="3">
        <v>670000</v>
      </c>
      <c r="P10" s="3">
        <v>32830000</v>
      </c>
      <c r="Q10" s="3" t="str">
        <f t="shared" si="6"/>
        <v>Normal</v>
      </c>
      <c r="R10" s="2" t="s">
        <v>38</v>
      </c>
      <c r="S10" s="2" t="s">
        <v>22</v>
      </c>
      <c r="T10" s="2" t="s">
        <v>39</v>
      </c>
      <c r="U10">
        <f t="shared" si="0"/>
        <v>1</v>
      </c>
    </row>
    <row r="11" spans="1:21">
      <c r="A11" s="2" t="s">
        <v>74</v>
      </c>
      <c r="B11" s="2" t="s">
        <v>57</v>
      </c>
      <c r="C11" s="2" t="str">
        <f t="shared" si="7"/>
        <v>2026-07-17</v>
      </c>
      <c r="D11" s="5">
        <f t="shared" si="8"/>
        <v>46220</v>
      </c>
      <c r="E11" s="2" t="s">
        <v>33</v>
      </c>
      <c r="F11" s="2" t="str">
        <f t="shared" si="9"/>
        <v>Depok</v>
      </c>
      <c r="G11" s="2" t="s">
        <v>75</v>
      </c>
      <c r="H11" s="2" t="str">
        <f t="shared" si="10"/>
        <v>Eka Putri</v>
      </c>
      <c r="I11" s="2" t="s">
        <v>76</v>
      </c>
      <c r="J11" s="2" t="str">
        <f t="shared" si="11"/>
        <v>Ahmad Hidayat</v>
      </c>
      <c r="K11" s="2" t="s">
        <v>19</v>
      </c>
      <c r="L11" s="2" t="s">
        <v>20</v>
      </c>
      <c r="M11" s="2">
        <v>1</v>
      </c>
      <c r="N11" s="3">
        <v>33500000</v>
      </c>
      <c r="O11" s="3">
        <v>335000</v>
      </c>
      <c r="P11" s="3">
        <v>33165000</v>
      </c>
      <c r="Q11" s="3" t="str">
        <f t="shared" si="6"/>
        <v>Normal</v>
      </c>
      <c r="R11" s="2" t="s">
        <v>62</v>
      </c>
      <c r="S11" s="2" t="s">
        <v>22</v>
      </c>
      <c r="T11" s="2" t="s">
        <v>77</v>
      </c>
      <c r="U11">
        <f t="shared" si="0"/>
        <v>1</v>
      </c>
    </row>
    <row r="12" spans="1:21">
      <c r="A12" s="2" t="s">
        <v>78</v>
      </c>
      <c r="B12" s="2" t="s">
        <v>79</v>
      </c>
      <c r="C12" s="2" t="str">
        <f t="shared" si="7"/>
        <v>19/07/2026</v>
      </c>
      <c r="D12" s="5">
        <f t="shared" si="8"/>
        <v>46222</v>
      </c>
      <c r="E12" s="2" t="s">
        <v>16</v>
      </c>
      <c r="F12" s="2" t="str">
        <f t="shared" si="9"/>
        <v>Cibubur</v>
      </c>
      <c r="G12" s="2" t="s">
        <v>80</v>
      </c>
      <c r="H12" s="2" t="str">
        <f t="shared" si="10"/>
        <v>Kiki Amelia</v>
      </c>
      <c r="I12" s="2" t="s">
        <v>81</v>
      </c>
      <c r="J12" s="2" t="str">
        <f t="shared" si="11"/>
        <v>Eko Kusuma</v>
      </c>
      <c r="K12" s="2" t="s">
        <v>51</v>
      </c>
      <c r="L12" s="2" t="s">
        <v>52</v>
      </c>
      <c r="M12" s="2">
        <v>1</v>
      </c>
      <c r="N12" s="3">
        <v>41000000</v>
      </c>
      <c r="O12" s="3">
        <v>0</v>
      </c>
      <c r="P12" s="3">
        <v>41000000</v>
      </c>
      <c r="Q12" s="3" t="str">
        <f t="shared" si="6"/>
        <v>Normal</v>
      </c>
      <c r="R12" s="2" t="s">
        <v>29</v>
      </c>
      <c r="S12" s="2" t="s">
        <v>82</v>
      </c>
      <c r="T12" s="2" t="s">
        <v>23</v>
      </c>
      <c r="U12">
        <f t="shared" si="0"/>
        <v>1</v>
      </c>
    </row>
    <row r="13" spans="1:21">
      <c r="A13" s="2" t="s">
        <v>83</v>
      </c>
      <c r="B13" s="2" t="s">
        <v>84</v>
      </c>
      <c r="C13" s="2" t="str">
        <f t="shared" si="7"/>
        <v>2026-07-15</v>
      </c>
      <c r="D13" s="5">
        <f t="shared" si="8"/>
        <v>46218</v>
      </c>
      <c r="E13" s="2" t="s">
        <v>85</v>
      </c>
      <c r="F13" s="2" t="str">
        <f t="shared" si="9"/>
        <v>Karawang</v>
      </c>
      <c r="G13" s="2" t="s">
        <v>80</v>
      </c>
      <c r="H13" s="2" t="str">
        <f t="shared" si="10"/>
        <v>Kiki Amelia</v>
      </c>
      <c r="I13" s="2" t="s">
        <v>86</v>
      </c>
      <c r="J13" s="2" t="str">
        <f t="shared" si="11"/>
        <v>Citra Ramadhan</v>
      </c>
      <c r="K13" s="2" t="s">
        <v>19</v>
      </c>
      <c r="L13" s="2" t="s">
        <v>20</v>
      </c>
      <c r="M13" s="2">
        <v>1</v>
      </c>
      <c r="N13" s="3">
        <v>33500000</v>
      </c>
      <c r="O13" s="3">
        <v>1005000</v>
      </c>
      <c r="P13" s="3">
        <v>32495000</v>
      </c>
      <c r="Q13" s="3" t="str">
        <f t="shared" si="6"/>
        <v>Normal</v>
      </c>
      <c r="R13" s="2" t="s">
        <v>29</v>
      </c>
      <c r="S13" s="2" t="s">
        <v>87</v>
      </c>
      <c r="T13" s="2" t="s">
        <v>39</v>
      </c>
      <c r="U13">
        <f t="shared" si="0"/>
        <v>1</v>
      </c>
    </row>
    <row r="14" spans="1:21">
      <c r="A14" s="2" t="s">
        <v>88</v>
      </c>
      <c r="B14" s="2" t="s">
        <v>25</v>
      </c>
      <c r="C14" s="2" t="str">
        <f t="shared" si="7"/>
        <v>2026-07-16</v>
      </c>
      <c r="D14" s="5">
        <f t="shared" si="8"/>
        <v>46219</v>
      </c>
      <c r="E14" s="2" t="s">
        <v>89</v>
      </c>
      <c r="F14" s="2" t="str">
        <f t="shared" si="9"/>
        <v>Bekasi</v>
      </c>
      <c r="G14" s="2" t="s">
        <v>54</v>
      </c>
      <c r="H14" s="2" t="str">
        <f t="shared" si="10"/>
        <v>Hadi Santoso</v>
      </c>
      <c r="I14" s="2" t="s">
        <v>90</v>
      </c>
      <c r="J14" s="2" t="str">
        <f t="shared" si="11"/>
        <v>Kevin Kusuma</v>
      </c>
      <c r="K14" s="2" t="s">
        <v>91</v>
      </c>
      <c r="L14" s="2" t="s">
        <v>92</v>
      </c>
      <c r="M14" s="2">
        <v>1</v>
      </c>
      <c r="N14" s="3">
        <v>26900000</v>
      </c>
      <c r="O14" s="3">
        <v>807000</v>
      </c>
      <c r="P14" s="3">
        <v>26093000</v>
      </c>
      <c r="Q14" s="3" t="str">
        <f t="shared" si="6"/>
        <v>Normal</v>
      </c>
      <c r="R14" s="2" t="s">
        <v>62</v>
      </c>
      <c r="S14" s="2" t="s">
        <v>22</v>
      </c>
      <c r="T14" s="2" t="s">
        <v>30</v>
      </c>
      <c r="U14">
        <f t="shared" si="0"/>
        <v>1</v>
      </c>
    </row>
    <row r="15" spans="1:21">
      <c r="A15" s="2" t="s">
        <v>93</v>
      </c>
      <c r="B15" s="2" t="s">
        <v>84</v>
      </c>
      <c r="C15" s="2" t="str">
        <f t="shared" si="7"/>
        <v>2026-07-15</v>
      </c>
      <c r="D15" s="5">
        <f t="shared" si="8"/>
        <v>46218</v>
      </c>
      <c r="E15" s="2" t="s">
        <v>48</v>
      </c>
      <c r="F15" s="2" t="str">
        <f t="shared" si="9"/>
        <v>Jakarta Selatan</v>
      </c>
      <c r="G15" s="2" t="s">
        <v>94</v>
      </c>
      <c r="H15" s="2" t="str">
        <f t="shared" si="10"/>
        <v>Gita Ayu</v>
      </c>
      <c r="I15" s="2" t="s">
        <v>95</v>
      </c>
      <c r="J15" s="2" t="str">
        <f t="shared" si="11"/>
        <v>Eko Ramadhan</v>
      </c>
      <c r="K15" s="2" t="s">
        <v>19</v>
      </c>
      <c r="L15" s="2" t="s">
        <v>20</v>
      </c>
      <c r="M15" s="2">
        <v>1</v>
      </c>
      <c r="N15" s="3">
        <v>33500000</v>
      </c>
      <c r="O15" s="3">
        <v>1005000</v>
      </c>
      <c r="P15" s="3">
        <v>32495000</v>
      </c>
      <c r="Q15" s="3" t="str">
        <f t="shared" si="6"/>
        <v>Normal</v>
      </c>
      <c r="R15" s="2" t="s">
        <v>62</v>
      </c>
      <c r="S15" s="2" t="s">
        <v>82</v>
      </c>
      <c r="T15" s="2" t="s">
        <v>30</v>
      </c>
      <c r="U15">
        <f t="shared" si="0"/>
        <v>1</v>
      </c>
    </row>
    <row r="16" spans="1:21">
      <c r="A16" s="2" t="s">
        <v>96</v>
      </c>
      <c r="B16" s="2" t="s">
        <v>15</v>
      </c>
      <c r="C16" s="2" t="str">
        <f t="shared" si="7"/>
        <v>2026-07-14</v>
      </c>
      <c r="D16" s="5">
        <f t="shared" si="8"/>
        <v>46217</v>
      </c>
      <c r="E16" s="2" t="s">
        <v>97</v>
      </c>
      <c r="F16" s="2" t="str">
        <f t="shared" si="9"/>
        <v>Serang</v>
      </c>
      <c r="G16" s="2" t="s">
        <v>98</v>
      </c>
      <c r="H16" s="2" t="str">
        <f t="shared" si="10"/>
        <v>Rangga Saputra</v>
      </c>
      <c r="I16" s="2" t="s">
        <v>28</v>
      </c>
      <c r="J16" s="2" t="str">
        <f t="shared" si="11"/>
        <v>Made Ramadhan</v>
      </c>
      <c r="K16" s="2" t="s">
        <v>99</v>
      </c>
      <c r="L16" s="2" t="s">
        <v>100</v>
      </c>
      <c r="M16" s="2">
        <v>1</v>
      </c>
      <c r="N16" s="3">
        <v>29800000</v>
      </c>
      <c r="O16" s="3">
        <v>0</v>
      </c>
      <c r="P16" s="3">
        <v>29800000</v>
      </c>
      <c r="Q16" s="3" t="str">
        <f t="shared" si="6"/>
        <v>Normal</v>
      </c>
      <c r="R16" s="2" t="s">
        <v>21</v>
      </c>
      <c r="S16" s="2" t="s">
        <v>22</v>
      </c>
      <c r="T16" s="2" t="s">
        <v>77</v>
      </c>
      <c r="U16">
        <f t="shared" si="0"/>
        <v>1</v>
      </c>
    </row>
    <row r="17" spans="1:21">
      <c r="A17" s="2" t="s">
        <v>101</v>
      </c>
      <c r="B17" s="2" t="s">
        <v>102</v>
      </c>
      <c r="C17" s="2" t="str">
        <f t="shared" si="7"/>
        <v>18/07/2026</v>
      </c>
      <c r="D17" s="5">
        <f t="shared" si="8"/>
        <v>46221</v>
      </c>
      <c r="E17" s="2" t="s">
        <v>16</v>
      </c>
      <c r="F17" s="2" t="str">
        <f t="shared" si="9"/>
        <v>Cibubur</v>
      </c>
      <c r="G17" s="2" t="s">
        <v>17</v>
      </c>
      <c r="H17" s="2" t="str">
        <f t="shared" si="10"/>
        <v>Taufik Hidayat</v>
      </c>
      <c r="I17" s="2" t="s">
        <v>103</v>
      </c>
      <c r="J17" s="2" t="str">
        <f t="shared" si="11"/>
        <v>Qori Lestari</v>
      </c>
      <c r="K17" s="2" t="s">
        <v>60</v>
      </c>
      <c r="L17" s="2" t="s">
        <v>61</v>
      </c>
      <c r="M17" s="2">
        <v>1</v>
      </c>
      <c r="N17" s="3">
        <v>21500000</v>
      </c>
      <c r="O17" s="3">
        <v>645000</v>
      </c>
      <c r="P17" s="3">
        <v>20855000</v>
      </c>
      <c r="Q17" s="3" t="str">
        <f t="shared" si="6"/>
        <v>Normal</v>
      </c>
      <c r="R17" s="2" t="s">
        <v>21</v>
      </c>
      <c r="S17" s="2" t="s">
        <v>22</v>
      </c>
      <c r="T17" s="2" t="s">
        <v>23</v>
      </c>
      <c r="U17">
        <f t="shared" si="0"/>
        <v>1</v>
      </c>
    </row>
    <row r="18" spans="1:21">
      <c r="A18" s="2" t="s">
        <v>104</v>
      </c>
      <c r="B18" s="2" t="s">
        <v>105</v>
      </c>
      <c r="C18" s="2" t="str">
        <f t="shared" si="7"/>
        <v>13/07/2026</v>
      </c>
      <c r="D18" s="5">
        <f t="shared" si="8"/>
        <v>46216</v>
      </c>
      <c r="E18" s="2" t="s">
        <v>89</v>
      </c>
      <c r="F18" s="2" t="str">
        <f t="shared" si="9"/>
        <v>Bekasi</v>
      </c>
      <c r="G18" s="2" t="s">
        <v>94</v>
      </c>
      <c r="H18" s="2" t="str">
        <f t="shared" si="10"/>
        <v>Gita Ayu</v>
      </c>
      <c r="I18" s="2" t="s">
        <v>106</v>
      </c>
      <c r="J18" s="2" t="str">
        <f t="shared" si="11"/>
        <v>Hana Kusuma</v>
      </c>
      <c r="K18" s="2" t="s">
        <v>68</v>
      </c>
      <c r="L18" s="2" t="s">
        <v>69</v>
      </c>
      <c r="M18" s="2">
        <v>1</v>
      </c>
      <c r="N18" s="3">
        <v>17800000</v>
      </c>
      <c r="O18" s="3">
        <v>0</v>
      </c>
      <c r="P18" s="3">
        <v>17800000</v>
      </c>
      <c r="Q18" s="3" t="str">
        <f t="shared" si="6"/>
        <v>Normal</v>
      </c>
      <c r="R18" s="2" t="s">
        <v>38</v>
      </c>
      <c r="S18" s="2" t="s">
        <v>22</v>
      </c>
      <c r="T18" s="2" t="s">
        <v>30</v>
      </c>
      <c r="U18">
        <f t="shared" si="0"/>
        <v>1</v>
      </c>
    </row>
    <row r="19" spans="1:21">
      <c r="A19" s="2" t="s">
        <v>110</v>
      </c>
      <c r="B19" s="2" t="s">
        <v>111</v>
      </c>
      <c r="C19" s="2" t="str">
        <f t="shared" si="7"/>
        <v>14/07/2026</v>
      </c>
      <c r="D19" s="5">
        <f t="shared" si="8"/>
        <v>46217</v>
      </c>
      <c r="E19" s="2" t="s">
        <v>112</v>
      </c>
      <c r="F19" s="2" t="str">
        <f t="shared" si="9"/>
        <v>Jakarta Timur</v>
      </c>
      <c r="G19" s="2" t="s">
        <v>113</v>
      </c>
      <c r="H19" s="2" t="str">
        <f t="shared" si="10"/>
        <v>Lukman Hakim</v>
      </c>
      <c r="I19" s="2" t="s">
        <v>114</v>
      </c>
      <c r="J19" s="2" t="str">
        <f t="shared" si="11"/>
        <v>Rendi Ramadhan</v>
      </c>
      <c r="K19" s="2" t="s">
        <v>99</v>
      </c>
      <c r="L19" s="2" t="s">
        <v>100</v>
      </c>
      <c r="M19" s="2">
        <v>1</v>
      </c>
      <c r="N19" s="3">
        <v>29800000</v>
      </c>
      <c r="O19" s="3">
        <v>1490000</v>
      </c>
      <c r="P19" s="3">
        <v>28310000</v>
      </c>
      <c r="Q19" s="3" t="str">
        <f t="shared" si="6"/>
        <v>Normal</v>
      </c>
      <c r="R19" s="2" t="s">
        <v>38</v>
      </c>
      <c r="S19" s="2" t="s">
        <v>22</v>
      </c>
      <c r="T19" s="2" t="s">
        <v>77</v>
      </c>
      <c r="U19">
        <f t="shared" si="0"/>
        <v>1</v>
      </c>
    </row>
    <row r="20" spans="1:21">
      <c r="A20" s="2" t="s">
        <v>115</v>
      </c>
      <c r="B20" s="2" t="s">
        <v>57</v>
      </c>
      <c r="C20" s="2" t="str">
        <f t="shared" si="7"/>
        <v>2026-07-17</v>
      </c>
      <c r="D20" s="5">
        <f t="shared" si="8"/>
        <v>46220</v>
      </c>
      <c r="E20" s="2" t="s">
        <v>16</v>
      </c>
      <c r="F20" s="2" t="str">
        <f t="shared" si="9"/>
        <v>Cibubur</v>
      </c>
      <c r="G20" s="2" t="s">
        <v>113</v>
      </c>
      <c r="H20" s="2" t="str">
        <f t="shared" si="10"/>
        <v>Lukman Hakim</v>
      </c>
      <c r="I20" s="2" t="s">
        <v>116</v>
      </c>
      <c r="J20" s="2" t="str">
        <f t="shared" si="11"/>
        <v>Irfan Pratama</v>
      </c>
      <c r="K20" s="2" t="s">
        <v>60</v>
      </c>
      <c r="L20" s="2" t="s">
        <v>61</v>
      </c>
      <c r="M20" s="2">
        <v>2</v>
      </c>
      <c r="N20" s="3">
        <v>21500000</v>
      </c>
      <c r="O20" s="3">
        <v>2150000</v>
      </c>
      <c r="P20" s="3">
        <v>40850000</v>
      </c>
      <c r="Q20" s="3" t="str">
        <f t="shared" si="6"/>
        <v>Normal</v>
      </c>
      <c r="R20" s="2" t="s">
        <v>38</v>
      </c>
      <c r="S20" s="2" t="s">
        <v>22</v>
      </c>
      <c r="T20" s="2" t="s">
        <v>77</v>
      </c>
      <c r="U20">
        <f t="shared" si="0"/>
        <v>1</v>
      </c>
    </row>
    <row r="21" spans="1:21">
      <c r="A21" s="2" t="s">
        <v>117</v>
      </c>
      <c r="B21" s="2" t="s">
        <v>111</v>
      </c>
      <c r="C21" s="2" t="str">
        <f t="shared" si="7"/>
        <v>14/07/2026</v>
      </c>
      <c r="D21" s="5">
        <f t="shared" si="8"/>
        <v>46217</v>
      </c>
      <c r="E21" s="2" t="s">
        <v>48</v>
      </c>
      <c r="F21" s="2" t="str">
        <f t="shared" si="9"/>
        <v>Jakarta Selatan</v>
      </c>
      <c r="G21" s="2" t="s">
        <v>42</v>
      </c>
      <c r="H21" s="2" t="str">
        <f t="shared" si="10"/>
        <v>Lina Marlina</v>
      </c>
      <c r="I21" s="2" t="s">
        <v>118</v>
      </c>
      <c r="J21" s="2" t="str">
        <f t="shared" si="11"/>
        <v>Eko Wijaya</v>
      </c>
      <c r="K21" s="2" t="s">
        <v>91</v>
      </c>
      <c r="L21" s="2" t="s">
        <v>92</v>
      </c>
      <c r="M21" s="2">
        <v>1</v>
      </c>
      <c r="N21" s="3">
        <v>26900000</v>
      </c>
      <c r="O21" s="3">
        <v>269000</v>
      </c>
      <c r="P21" s="3">
        <v>26631000</v>
      </c>
      <c r="Q21" s="3" t="str">
        <f t="shared" si="6"/>
        <v>Normal</v>
      </c>
      <c r="R21" s="2" t="s">
        <v>29</v>
      </c>
      <c r="S21" s="2" t="s">
        <v>22</v>
      </c>
      <c r="T21" s="2" t="s">
        <v>39</v>
      </c>
      <c r="U21">
        <f t="shared" si="0"/>
        <v>1</v>
      </c>
    </row>
    <row r="22" spans="1:21">
      <c r="A22" s="2" t="s">
        <v>119</v>
      </c>
      <c r="B22" s="2" t="s">
        <v>32</v>
      </c>
      <c r="C22" s="2" t="str">
        <f t="shared" si="7"/>
        <v>15/07/2026</v>
      </c>
      <c r="D22" s="5">
        <f t="shared" si="8"/>
        <v>46218</v>
      </c>
      <c r="E22" s="2" t="s">
        <v>97</v>
      </c>
      <c r="F22" s="2" t="str">
        <f t="shared" si="9"/>
        <v>Serang</v>
      </c>
      <c r="G22" s="2" t="s">
        <v>42</v>
      </c>
      <c r="H22" s="2" t="str">
        <f t="shared" si="10"/>
        <v>Lina Marlina</v>
      </c>
      <c r="I22" s="2" t="s">
        <v>120</v>
      </c>
      <c r="J22" s="2" t="str">
        <f t="shared" si="11"/>
        <v>Oscar Hidayat</v>
      </c>
      <c r="K22" s="2" t="s">
        <v>51</v>
      </c>
      <c r="L22" s="2" t="s">
        <v>52</v>
      </c>
      <c r="M22" s="2">
        <v>1</v>
      </c>
      <c r="N22" s="3">
        <v>41000000</v>
      </c>
      <c r="O22" s="3">
        <v>820000</v>
      </c>
      <c r="P22" s="3">
        <v>40180000</v>
      </c>
      <c r="Q22" s="3" t="str">
        <f t="shared" si="6"/>
        <v>Normal</v>
      </c>
      <c r="R22" s="2" t="s">
        <v>46</v>
      </c>
      <c r="S22" s="2" t="s">
        <v>22</v>
      </c>
      <c r="T22" s="2" t="s">
        <v>39</v>
      </c>
      <c r="U22">
        <f t="shared" si="0"/>
        <v>1</v>
      </c>
    </row>
    <row r="23" spans="1:21">
      <c r="A23" s="2" t="s">
        <v>121</v>
      </c>
      <c r="B23" s="2" t="s">
        <v>122</v>
      </c>
      <c r="C23" s="2" t="str">
        <f t="shared" si="7"/>
        <v>17/07/2026</v>
      </c>
      <c r="D23" s="5">
        <f t="shared" si="8"/>
        <v>46220</v>
      </c>
      <c r="E23" s="2" t="s">
        <v>71</v>
      </c>
      <c r="F23" s="2" t="str">
        <f t="shared" si="9"/>
        <v>Bekasi</v>
      </c>
      <c r="G23" s="2" t="s">
        <v>49</v>
      </c>
      <c r="H23" s="2" t="str">
        <f t="shared" si="10"/>
        <v>Fajar Nugraha</v>
      </c>
      <c r="I23" s="2" t="s">
        <v>123</v>
      </c>
      <c r="J23" s="2" t="str">
        <f t="shared" si="11"/>
        <v>Citra Pratama</v>
      </c>
      <c r="K23" s="2" t="s">
        <v>60</v>
      </c>
      <c r="L23" s="2" t="s">
        <v>61</v>
      </c>
      <c r="M23" s="2">
        <v>1</v>
      </c>
      <c r="N23" s="3">
        <v>21500000</v>
      </c>
      <c r="O23" s="3">
        <v>430000</v>
      </c>
      <c r="P23" s="3">
        <v>21070000</v>
      </c>
      <c r="Q23" s="3" t="str">
        <f t="shared" si="6"/>
        <v>Normal</v>
      </c>
      <c r="R23" s="2" t="s">
        <v>38</v>
      </c>
      <c r="S23" s="2" t="s">
        <v>22</v>
      </c>
      <c r="T23" s="2" t="s">
        <v>39</v>
      </c>
      <c r="U23">
        <f t="shared" si="0"/>
        <v>1</v>
      </c>
    </row>
    <row r="24" spans="1:21">
      <c r="A24" s="2" t="s">
        <v>124</v>
      </c>
      <c r="B24" s="2" t="s">
        <v>125</v>
      </c>
      <c r="C24" s="2" t="str">
        <f t="shared" si="7"/>
        <v>16/07/2026</v>
      </c>
      <c r="D24" s="5">
        <f t="shared" si="8"/>
        <v>46219</v>
      </c>
      <c r="E24" s="2" t="s">
        <v>65</v>
      </c>
      <c r="F24" s="2" t="str">
        <f t="shared" si="9"/>
        <v>Bandung</v>
      </c>
      <c r="G24" s="2" t="s">
        <v>126</v>
      </c>
      <c r="H24" s="2" t="str">
        <f t="shared" si="10"/>
        <v>Oki Setiawan</v>
      </c>
      <c r="I24" s="2" t="s">
        <v>127</v>
      </c>
      <c r="J24" s="2" t="str">
        <f t="shared" si="11"/>
        <v>Made Anggraini</v>
      </c>
      <c r="K24" s="2" t="s">
        <v>99</v>
      </c>
      <c r="L24" s="2" t="s">
        <v>100</v>
      </c>
      <c r="M24" s="2">
        <v>1</v>
      </c>
      <c r="N24" s="3">
        <v>29800000</v>
      </c>
      <c r="O24" s="3">
        <v>0</v>
      </c>
      <c r="P24" s="3">
        <v>29800000</v>
      </c>
      <c r="Q24" s="3" t="str">
        <f t="shared" si="6"/>
        <v>Normal</v>
      </c>
      <c r="R24" s="2" t="s">
        <v>38</v>
      </c>
      <c r="S24" s="2" t="s">
        <v>82</v>
      </c>
      <c r="T24" s="2" t="s">
        <v>30</v>
      </c>
      <c r="U24">
        <f t="shared" si="0"/>
        <v>1</v>
      </c>
    </row>
    <row r="25" spans="1:21">
      <c r="A25" s="2" t="s">
        <v>128</v>
      </c>
      <c r="B25" s="2" t="s">
        <v>108</v>
      </c>
      <c r="C25" s="2" t="str">
        <f t="shared" si="7"/>
        <v>2026-07-18</v>
      </c>
      <c r="D25" s="5">
        <f t="shared" si="8"/>
        <v>46221</v>
      </c>
      <c r="E25" s="2" t="s">
        <v>112</v>
      </c>
      <c r="F25" s="2" t="str">
        <f t="shared" si="9"/>
        <v>Jakarta Timur</v>
      </c>
      <c r="G25" s="2" t="s">
        <v>98</v>
      </c>
      <c r="H25" s="2" t="str">
        <f t="shared" si="10"/>
        <v>Rangga Saputra</v>
      </c>
      <c r="I25" s="2" t="s">
        <v>35</v>
      </c>
      <c r="J25" s="2" t="str">
        <f t="shared" si="11"/>
        <v>Putra Hidayat</v>
      </c>
      <c r="K25" s="2" t="s">
        <v>99</v>
      </c>
      <c r="L25" s="2" t="s">
        <v>100</v>
      </c>
      <c r="M25" s="2">
        <v>1</v>
      </c>
      <c r="N25" s="3">
        <v>29800000</v>
      </c>
      <c r="O25" s="3">
        <v>0</v>
      </c>
      <c r="P25" s="3">
        <v>29800000</v>
      </c>
      <c r="Q25" s="3" t="str">
        <f t="shared" si="6"/>
        <v>Normal</v>
      </c>
      <c r="R25" s="2" t="s">
        <v>29</v>
      </c>
      <c r="S25" s="2" t="s">
        <v>22</v>
      </c>
      <c r="T25" s="2" t="s">
        <v>23</v>
      </c>
      <c r="U25">
        <f t="shared" si="0"/>
        <v>1</v>
      </c>
    </row>
    <row r="26" spans="1:21">
      <c r="A26" s="2" t="s">
        <v>129</v>
      </c>
      <c r="B26" s="2" t="s">
        <v>64</v>
      </c>
      <c r="C26" s="2" t="str">
        <f t="shared" si="7"/>
        <v>2026-07-13</v>
      </c>
      <c r="D26" s="5">
        <f t="shared" si="8"/>
        <v>46216</v>
      </c>
      <c r="E26" s="2" t="s">
        <v>71</v>
      </c>
      <c r="F26" s="2" t="str">
        <f t="shared" si="9"/>
        <v>Bekasi</v>
      </c>
      <c r="G26" s="2" t="s">
        <v>130</v>
      </c>
      <c r="H26" s="2" t="str">
        <f t="shared" si="10"/>
        <v>Indah Permata</v>
      </c>
      <c r="I26" s="2" t="s">
        <v>131</v>
      </c>
      <c r="J26" s="2" t="str">
        <f t="shared" si="11"/>
        <v>Eko Firmansyah</v>
      </c>
      <c r="K26" s="2" t="s">
        <v>68</v>
      </c>
      <c r="L26" s="2" t="s">
        <v>69</v>
      </c>
      <c r="M26" s="2">
        <v>1</v>
      </c>
      <c r="N26" s="3">
        <v>17800000</v>
      </c>
      <c r="O26" s="3">
        <v>534000</v>
      </c>
      <c r="P26" s="3">
        <v>17266000</v>
      </c>
      <c r="Q26" s="3" t="str">
        <f t="shared" si="6"/>
        <v>Normal</v>
      </c>
      <c r="R26" s="2" t="s">
        <v>21</v>
      </c>
      <c r="S26" s="2" t="s">
        <v>22</v>
      </c>
      <c r="T26" s="2" t="s">
        <v>77</v>
      </c>
      <c r="U26">
        <f t="shared" si="0"/>
        <v>1</v>
      </c>
    </row>
    <row r="27" spans="1:21">
      <c r="A27" s="2" t="s">
        <v>132</v>
      </c>
      <c r="B27" s="2" t="s">
        <v>57</v>
      </c>
      <c r="C27" s="2" t="str">
        <f t="shared" si="7"/>
        <v>2026-07-17</v>
      </c>
      <c r="D27" s="5">
        <f t="shared" si="8"/>
        <v>46220</v>
      </c>
      <c r="E27" s="2" t="s">
        <v>71</v>
      </c>
      <c r="F27" s="2" t="str">
        <f t="shared" si="9"/>
        <v>Bekasi</v>
      </c>
      <c r="G27" s="2" t="s">
        <v>17</v>
      </c>
      <c r="H27" s="2" t="str">
        <f t="shared" si="10"/>
        <v>Taufik Hidayat</v>
      </c>
      <c r="I27" s="2" t="s">
        <v>133</v>
      </c>
      <c r="J27" s="2" t="str">
        <f t="shared" si="11"/>
        <v>Putra Wijaya</v>
      </c>
      <c r="K27" s="2" t="s">
        <v>19</v>
      </c>
      <c r="L27" s="2" t="s">
        <v>20</v>
      </c>
      <c r="M27" s="2">
        <v>1</v>
      </c>
      <c r="N27" s="3">
        <v>33500000</v>
      </c>
      <c r="O27" s="3">
        <v>1005000</v>
      </c>
      <c r="P27" s="3">
        <v>32495000</v>
      </c>
      <c r="Q27" s="3" t="str">
        <f t="shared" si="6"/>
        <v>Normal</v>
      </c>
      <c r="R27" s="2" t="s">
        <v>21</v>
      </c>
      <c r="S27" s="2" t="s">
        <v>22</v>
      </c>
      <c r="T27" s="2" t="s">
        <v>39</v>
      </c>
      <c r="U27">
        <f t="shared" si="0"/>
        <v>1</v>
      </c>
    </row>
    <row r="28" spans="1:21">
      <c r="A28" s="2" t="s">
        <v>134</v>
      </c>
      <c r="B28" s="2" t="s">
        <v>135</v>
      </c>
      <c r="C28" s="2" t="str">
        <f t="shared" si="7"/>
        <v>16/07/2026</v>
      </c>
      <c r="D28" s="5">
        <f t="shared" si="8"/>
        <v>46219</v>
      </c>
      <c r="E28" s="2" t="s">
        <v>97</v>
      </c>
      <c r="F28" s="2" t="str">
        <f t="shared" si="9"/>
        <v>Serang</v>
      </c>
      <c r="G28" s="2" t="s">
        <v>113</v>
      </c>
      <c r="H28" s="2" t="str">
        <f t="shared" si="10"/>
        <v>Lukman Hakim</v>
      </c>
      <c r="I28" s="2" t="s">
        <v>136</v>
      </c>
      <c r="J28" s="2" t="str">
        <f t="shared" si="11"/>
        <v>Dewi Firmansyah</v>
      </c>
      <c r="K28" s="2" t="s">
        <v>68</v>
      </c>
      <c r="L28" s="2" t="s">
        <v>69</v>
      </c>
      <c r="M28" s="2">
        <v>1</v>
      </c>
      <c r="N28" s="3">
        <v>17800000</v>
      </c>
      <c r="O28" s="3">
        <v>356000</v>
      </c>
      <c r="P28" s="3">
        <v>17444000</v>
      </c>
      <c r="Q28" s="3" t="str">
        <f t="shared" si="6"/>
        <v>Normal</v>
      </c>
      <c r="R28" s="2" t="s">
        <v>21</v>
      </c>
      <c r="S28" s="2" t="s">
        <v>22</v>
      </c>
      <c r="T28" s="2" t="s">
        <v>39</v>
      </c>
      <c r="U28">
        <f t="shared" si="0"/>
        <v>1</v>
      </c>
    </row>
    <row r="29" spans="1:21">
      <c r="A29" s="2" t="s">
        <v>137</v>
      </c>
      <c r="B29" s="2" t="s">
        <v>102</v>
      </c>
      <c r="C29" s="2" t="str">
        <f t="shared" si="7"/>
        <v>18/07/2026</v>
      </c>
      <c r="D29" s="5">
        <f t="shared" si="8"/>
        <v>46221</v>
      </c>
      <c r="E29" s="2" t="s">
        <v>112</v>
      </c>
      <c r="F29" s="2" t="str">
        <f t="shared" si="9"/>
        <v>Jakarta Timur</v>
      </c>
      <c r="G29" s="2" t="s">
        <v>75</v>
      </c>
      <c r="H29" s="2" t="str">
        <f t="shared" si="10"/>
        <v>Eka Putri</v>
      </c>
      <c r="I29" s="2" t="s">
        <v>138</v>
      </c>
      <c r="J29" s="2" t="str">
        <f t="shared" si="11"/>
        <v>Tono Wijaya</v>
      </c>
      <c r="K29" s="2" t="s">
        <v>99</v>
      </c>
      <c r="L29" s="2" t="s">
        <v>100</v>
      </c>
      <c r="M29" s="2">
        <v>1</v>
      </c>
      <c r="N29" s="3">
        <v>29800000</v>
      </c>
      <c r="O29" s="3">
        <v>0</v>
      </c>
      <c r="P29" s="3">
        <v>29800000</v>
      </c>
      <c r="Q29" s="3" t="str">
        <f t="shared" si="6"/>
        <v>Normal</v>
      </c>
      <c r="R29" s="2" t="s">
        <v>62</v>
      </c>
      <c r="S29" s="2" t="s">
        <v>22</v>
      </c>
      <c r="T29" s="2" t="s">
        <v>30</v>
      </c>
      <c r="U29">
        <f t="shared" si="0"/>
        <v>1</v>
      </c>
    </row>
    <row r="30" spans="1:21">
      <c r="A30" s="2" t="s">
        <v>139</v>
      </c>
      <c r="B30" s="2" t="s">
        <v>140</v>
      </c>
      <c r="C30" s="2" t="str">
        <f t="shared" si="7"/>
        <v>2026-07-19</v>
      </c>
      <c r="D30" s="5">
        <f t="shared" si="8"/>
        <v>46222</v>
      </c>
      <c r="E30" s="2" t="s">
        <v>85</v>
      </c>
      <c r="F30" s="2" t="str">
        <f t="shared" si="9"/>
        <v>Karawang</v>
      </c>
      <c r="G30" s="2" t="s">
        <v>113</v>
      </c>
      <c r="H30" s="2" t="str">
        <f t="shared" si="10"/>
        <v>Lukman Hakim</v>
      </c>
      <c r="I30" s="2" t="s">
        <v>141</v>
      </c>
      <c r="J30" s="2" t="str">
        <f t="shared" si="11"/>
        <v>Putra Ramadhan</v>
      </c>
      <c r="K30" s="2" t="s">
        <v>142</v>
      </c>
      <c r="L30" s="2" t="s">
        <v>143</v>
      </c>
      <c r="M30" s="2">
        <v>1</v>
      </c>
      <c r="N30" s="3">
        <v>18900000</v>
      </c>
      <c r="O30" s="3">
        <v>378000</v>
      </c>
      <c r="P30" s="3">
        <v>18522000</v>
      </c>
      <c r="Q30" s="3" t="str">
        <f t="shared" si="6"/>
        <v>Normal</v>
      </c>
      <c r="R30" s="2" t="s">
        <v>62</v>
      </c>
      <c r="S30" s="2" t="s">
        <v>22</v>
      </c>
      <c r="T30" s="2" t="s">
        <v>23</v>
      </c>
      <c r="U30">
        <f t="shared" si="0"/>
        <v>1</v>
      </c>
    </row>
    <row r="31" spans="1:21">
      <c r="A31" s="2" t="s">
        <v>144</v>
      </c>
      <c r="B31" s="2" t="s">
        <v>111</v>
      </c>
      <c r="C31" s="2" t="str">
        <f t="shared" si="7"/>
        <v>14/07/2026</v>
      </c>
      <c r="D31" s="5">
        <f t="shared" si="8"/>
        <v>46217</v>
      </c>
      <c r="E31" s="2" t="s">
        <v>26</v>
      </c>
      <c r="F31" s="2" t="str">
        <f t="shared" si="9"/>
        <v>Sukabumi</v>
      </c>
      <c r="G31" s="2" t="s">
        <v>145</v>
      </c>
      <c r="H31" s="2" t="str">
        <f t="shared" si="10"/>
        <v>Doni Saputra</v>
      </c>
      <c r="I31" s="2" t="s">
        <v>146</v>
      </c>
      <c r="J31" s="2" t="str">
        <f t="shared" si="11"/>
        <v>Ahmad Wijaya</v>
      </c>
      <c r="K31" s="2" t="s">
        <v>19</v>
      </c>
      <c r="L31" s="2" t="s">
        <v>20</v>
      </c>
      <c r="M31" s="2">
        <v>1</v>
      </c>
      <c r="N31" s="3">
        <v>33500000</v>
      </c>
      <c r="O31" s="3">
        <v>1005000</v>
      </c>
      <c r="P31" s="3">
        <v>32495000</v>
      </c>
      <c r="Q31" s="3" t="str">
        <f t="shared" si="6"/>
        <v>Normal</v>
      </c>
      <c r="R31" s="2" t="s">
        <v>21</v>
      </c>
      <c r="S31" s="2" t="s">
        <v>22</v>
      </c>
      <c r="T31" s="2" t="s">
        <v>39</v>
      </c>
      <c r="U31">
        <f t="shared" si="0"/>
        <v>1</v>
      </c>
    </row>
    <row r="32" spans="1:21">
      <c r="A32" s="2" t="s">
        <v>147</v>
      </c>
      <c r="B32" s="2" t="s">
        <v>111</v>
      </c>
      <c r="C32" s="2" t="str">
        <f t="shared" si="7"/>
        <v>14/07/2026</v>
      </c>
      <c r="D32" s="5">
        <f t="shared" si="8"/>
        <v>46217</v>
      </c>
      <c r="E32" s="2" t="s">
        <v>148</v>
      </c>
      <c r="F32" s="2" t="str">
        <f t="shared" si="9"/>
        <v>Cikarang</v>
      </c>
      <c r="G32" s="2" t="s">
        <v>17</v>
      </c>
      <c r="H32" s="2" t="str">
        <f t="shared" si="10"/>
        <v>Taufik Hidayat</v>
      </c>
      <c r="I32" s="2" t="s">
        <v>149</v>
      </c>
      <c r="J32" s="2" t="str">
        <f t="shared" si="11"/>
        <v>Citra Hidayat</v>
      </c>
      <c r="K32" s="2" t="s">
        <v>68</v>
      </c>
      <c r="L32" s="2" t="s">
        <v>69</v>
      </c>
      <c r="M32" s="2">
        <v>1</v>
      </c>
      <c r="N32" s="3">
        <v>17800000</v>
      </c>
      <c r="O32" s="3">
        <v>356000</v>
      </c>
      <c r="P32" s="3">
        <v>17444000</v>
      </c>
      <c r="Q32" s="3" t="str">
        <f t="shared" si="6"/>
        <v>Normal</v>
      </c>
      <c r="R32" s="2" t="s">
        <v>29</v>
      </c>
      <c r="S32" s="2" t="s">
        <v>22</v>
      </c>
      <c r="T32" s="2" t="s">
        <v>77</v>
      </c>
      <c r="U32">
        <f t="shared" si="0"/>
        <v>1</v>
      </c>
    </row>
    <row r="33" spans="1:21">
      <c r="A33" s="2" t="s">
        <v>150</v>
      </c>
      <c r="B33" s="2" t="s">
        <v>108</v>
      </c>
      <c r="C33" s="2" t="str">
        <f t="shared" si="7"/>
        <v>2026-07-18</v>
      </c>
      <c r="D33" s="5">
        <f t="shared" si="8"/>
        <v>46221</v>
      </c>
      <c r="E33" s="2" t="s">
        <v>148</v>
      </c>
      <c r="F33" s="2" t="str">
        <f t="shared" si="9"/>
        <v>Cikarang</v>
      </c>
      <c r="G33" s="2" t="s">
        <v>54</v>
      </c>
      <c r="H33" s="2" t="str">
        <f t="shared" si="10"/>
        <v>Hadi Santoso</v>
      </c>
      <c r="I33" s="2" t="s">
        <v>151</v>
      </c>
      <c r="J33" s="2" t="str">
        <f t="shared" si="11"/>
        <v>Hana Firmansyah</v>
      </c>
      <c r="K33" s="2" t="s">
        <v>152</v>
      </c>
      <c r="L33" s="2" t="s">
        <v>153</v>
      </c>
      <c r="M33" s="2">
        <v>1</v>
      </c>
      <c r="N33" s="3">
        <v>27400000</v>
      </c>
      <c r="O33" s="3">
        <v>1370000</v>
      </c>
      <c r="P33" s="3">
        <v>26030000</v>
      </c>
      <c r="Q33" s="3" t="str">
        <f t="shared" si="6"/>
        <v>Normal</v>
      </c>
      <c r="R33" s="2" t="s">
        <v>29</v>
      </c>
      <c r="S33" s="2" t="s">
        <v>22</v>
      </c>
      <c r="T33" s="2" t="s">
        <v>39</v>
      </c>
      <c r="U33">
        <f t="shared" si="0"/>
        <v>1</v>
      </c>
    </row>
    <row r="34" spans="1:21">
      <c r="A34" s="2" t="s">
        <v>154</v>
      </c>
      <c r="B34" s="2" t="s">
        <v>25</v>
      </c>
      <c r="C34" s="2" t="str">
        <f t="shared" si="7"/>
        <v>2026-07-16</v>
      </c>
      <c r="D34" s="5">
        <f t="shared" si="8"/>
        <v>46219</v>
      </c>
      <c r="E34" s="2" t="s">
        <v>155</v>
      </c>
      <c r="F34" s="2" t="str">
        <f t="shared" si="9"/>
        <v>Tangerang</v>
      </c>
      <c r="G34" s="2" t="s">
        <v>66</v>
      </c>
      <c r="H34" s="2" t="str">
        <f t="shared" si="10"/>
        <v>Puji Lestari</v>
      </c>
      <c r="I34" s="2" t="s">
        <v>156</v>
      </c>
      <c r="J34" s="2" t="str">
        <f t="shared" si="11"/>
        <v>Kevin Firmansyah</v>
      </c>
      <c r="K34" s="2" t="s">
        <v>60</v>
      </c>
      <c r="L34" s="2" t="s">
        <v>61</v>
      </c>
      <c r="M34" s="2">
        <v>1</v>
      </c>
      <c r="N34" s="3">
        <v>21500000</v>
      </c>
      <c r="O34" s="3">
        <v>215000</v>
      </c>
      <c r="P34" s="3">
        <v>21285000</v>
      </c>
      <c r="Q34" s="3" t="str">
        <f t="shared" si="6"/>
        <v>Normal</v>
      </c>
      <c r="R34" s="2" t="s">
        <v>46</v>
      </c>
      <c r="S34" s="2" t="s">
        <v>22</v>
      </c>
      <c r="T34" s="2" t="s">
        <v>30</v>
      </c>
      <c r="U34">
        <f t="shared" si="0"/>
        <v>1</v>
      </c>
    </row>
    <row r="35" spans="1:21">
      <c r="A35" s="2" t="s">
        <v>157</v>
      </c>
      <c r="B35" s="2" t="s">
        <v>122</v>
      </c>
      <c r="C35" s="2" t="str">
        <f t="shared" si="7"/>
        <v>17/07/2026</v>
      </c>
      <c r="D35" s="5">
        <f t="shared" si="8"/>
        <v>46220</v>
      </c>
      <c r="E35" s="2" t="s">
        <v>148</v>
      </c>
      <c r="F35" s="2" t="str">
        <f t="shared" si="9"/>
        <v>Cikarang</v>
      </c>
      <c r="G35" s="2" t="s">
        <v>34</v>
      </c>
      <c r="H35" s="2" t="str">
        <f t="shared" si="10"/>
        <v>Joko Widodo S.</v>
      </c>
      <c r="I35" s="2" t="s">
        <v>158</v>
      </c>
      <c r="J35" s="2" t="str">
        <f t="shared" si="11"/>
        <v>Fitri Saputra</v>
      </c>
      <c r="K35" s="2" t="s">
        <v>36</v>
      </c>
      <c r="L35" s="2" t="s">
        <v>37</v>
      </c>
      <c r="M35" s="2">
        <v>1</v>
      </c>
      <c r="N35" s="3">
        <v>22300000</v>
      </c>
      <c r="O35" s="3">
        <v>0</v>
      </c>
      <c r="P35" s="3">
        <v>22300000</v>
      </c>
      <c r="Q35" s="3" t="str">
        <f t="shared" si="6"/>
        <v>Normal</v>
      </c>
      <c r="R35" s="2" t="s">
        <v>29</v>
      </c>
      <c r="S35" s="2" t="s">
        <v>82</v>
      </c>
      <c r="T35" s="2" t="s">
        <v>30</v>
      </c>
      <c r="U35">
        <f t="shared" si="0"/>
        <v>1</v>
      </c>
    </row>
    <row r="36" spans="1:21">
      <c r="A36" s="2" t="s">
        <v>159</v>
      </c>
      <c r="B36" s="2" t="s">
        <v>84</v>
      </c>
      <c r="C36" s="2" t="str">
        <f t="shared" si="7"/>
        <v>2026-07-15</v>
      </c>
      <c r="D36" s="5">
        <f t="shared" si="8"/>
        <v>46218</v>
      </c>
      <c r="E36" s="2" t="s">
        <v>97</v>
      </c>
      <c r="F36" s="2" t="str">
        <f t="shared" si="9"/>
        <v>Serang</v>
      </c>
      <c r="G36" s="2" t="s">
        <v>94</v>
      </c>
      <c r="H36" s="2" t="str">
        <f t="shared" si="10"/>
        <v>Gita Ayu</v>
      </c>
      <c r="I36" s="2" t="s">
        <v>160</v>
      </c>
      <c r="J36" s="2" t="str">
        <f t="shared" si="11"/>
        <v>Eko Maharani</v>
      </c>
      <c r="K36" s="2" t="s">
        <v>19</v>
      </c>
      <c r="L36" s="2" t="s">
        <v>20</v>
      </c>
      <c r="M36" s="2">
        <v>1</v>
      </c>
      <c r="N36" s="3">
        <v>33500000</v>
      </c>
      <c r="O36" s="3">
        <v>670000</v>
      </c>
      <c r="P36" s="3">
        <v>32830000</v>
      </c>
      <c r="Q36" s="3" t="str">
        <f t="shared" si="6"/>
        <v>Normal</v>
      </c>
      <c r="R36" s="2" t="s">
        <v>38</v>
      </c>
      <c r="S36" s="2" t="s">
        <v>22</v>
      </c>
      <c r="T36" s="2" t="s">
        <v>30</v>
      </c>
      <c r="U36">
        <f t="shared" si="0"/>
        <v>1</v>
      </c>
    </row>
    <row r="37" spans="1:21">
      <c r="A37" s="2" t="s">
        <v>161</v>
      </c>
      <c r="B37" s="2" t="s">
        <v>162</v>
      </c>
      <c r="C37" s="2" t="str">
        <f t="shared" si="7"/>
        <v>18/07/2026</v>
      </c>
      <c r="D37" s="5">
        <f t="shared" si="8"/>
        <v>46221</v>
      </c>
      <c r="E37" s="2" t="s">
        <v>33</v>
      </c>
      <c r="F37" s="2" t="str">
        <f t="shared" si="9"/>
        <v>Depok</v>
      </c>
      <c r="G37" s="2" t="s">
        <v>72</v>
      </c>
      <c r="H37" s="2" t="str">
        <f t="shared" si="10"/>
        <v>Sari Dewi</v>
      </c>
      <c r="I37" s="2" t="s">
        <v>163</v>
      </c>
      <c r="J37" s="2" t="str">
        <f t="shared" si="11"/>
        <v>Dewi Ramadhan</v>
      </c>
      <c r="K37" s="2" t="s">
        <v>91</v>
      </c>
      <c r="L37" s="2" t="s">
        <v>92</v>
      </c>
      <c r="M37" s="2">
        <v>1</v>
      </c>
      <c r="N37" s="3">
        <v>26900000</v>
      </c>
      <c r="O37" s="3">
        <v>1345000</v>
      </c>
      <c r="P37" s="3">
        <v>25555000</v>
      </c>
      <c r="Q37" s="3" t="str">
        <f t="shared" si="6"/>
        <v>Normal</v>
      </c>
      <c r="R37" s="2" t="s">
        <v>38</v>
      </c>
      <c r="S37" s="2" t="s">
        <v>22</v>
      </c>
      <c r="T37" s="2" t="s">
        <v>77</v>
      </c>
      <c r="U37">
        <f t="shared" si="0"/>
        <v>1</v>
      </c>
    </row>
    <row r="38" spans="1:21">
      <c r="A38" s="2" t="s">
        <v>164</v>
      </c>
      <c r="B38" s="2" t="s">
        <v>64</v>
      </c>
      <c r="C38" s="2" t="str">
        <f t="shared" si="7"/>
        <v>2026-07-13</v>
      </c>
      <c r="D38" s="5">
        <f t="shared" si="8"/>
        <v>46216</v>
      </c>
      <c r="E38" s="2" t="s">
        <v>48</v>
      </c>
      <c r="F38" s="2" t="str">
        <f t="shared" si="9"/>
        <v>Jakarta Selatan</v>
      </c>
      <c r="G38" s="2" t="s">
        <v>58</v>
      </c>
      <c r="H38" s="2" t="str">
        <f t="shared" si="10"/>
        <v>Umi Kalsum</v>
      </c>
      <c r="I38" s="2" t="s">
        <v>165</v>
      </c>
      <c r="J38" s="2" t="str">
        <f t="shared" si="11"/>
        <v>Kevin Lestari</v>
      </c>
      <c r="K38" s="2" t="s">
        <v>142</v>
      </c>
      <c r="L38" s="2" t="s">
        <v>143</v>
      </c>
      <c r="M38" s="2">
        <v>1</v>
      </c>
      <c r="N38" s="3">
        <v>18900000</v>
      </c>
      <c r="O38" s="3">
        <v>0</v>
      </c>
      <c r="P38" s="3">
        <v>18900000</v>
      </c>
      <c r="Q38" s="3" t="str">
        <f t="shared" si="6"/>
        <v>Normal</v>
      </c>
      <c r="R38" s="2" t="s">
        <v>46</v>
      </c>
      <c r="S38" s="2" t="s">
        <v>22</v>
      </c>
      <c r="T38" s="2" t="s">
        <v>39</v>
      </c>
      <c r="U38">
        <f t="shared" si="0"/>
        <v>1</v>
      </c>
    </row>
    <row r="39" spans="1:21">
      <c r="A39" s="2" t="s">
        <v>166</v>
      </c>
      <c r="B39" s="2" t="s">
        <v>167</v>
      </c>
      <c r="C39" s="2" t="str">
        <f t="shared" si="7"/>
        <v>19/07/2026</v>
      </c>
      <c r="D39" s="5">
        <f t="shared" si="8"/>
        <v>46222</v>
      </c>
      <c r="E39" s="2" t="s">
        <v>148</v>
      </c>
      <c r="F39" s="2" t="str">
        <f t="shared" si="9"/>
        <v>Cikarang</v>
      </c>
      <c r="G39" s="2" t="s">
        <v>168</v>
      </c>
      <c r="H39" s="2" t="str">
        <f t="shared" si="10"/>
        <v>Mira Anjani</v>
      </c>
      <c r="I39" s="2" t="s">
        <v>169</v>
      </c>
      <c r="J39" s="2" t="str">
        <f t="shared" si="11"/>
        <v>Budi Ramadhan</v>
      </c>
      <c r="K39" s="2" t="s">
        <v>91</v>
      </c>
      <c r="L39" s="2" t="s">
        <v>92</v>
      </c>
      <c r="M39" s="2">
        <v>1</v>
      </c>
      <c r="N39" s="3">
        <v>26900000</v>
      </c>
      <c r="O39" s="3">
        <v>0</v>
      </c>
      <c r="P39" s="3">
        <v>26900000</v>
      </c>
      <c r="Q39" s="3" t="str">
        <f t="shared" si="6"/>
        <v>Normal</v>
      </c>
      <c r="R39" s="2" t="s">
        <v>62</v>
      </c>
      <c r="S39" s="2" t="s">
        <v>22</v>
      </c>
      <c r="T39" s="2" t="s">
        <v>77</v>
      </c>
      <c r="U39">
        <f t="shared" si="0"/>
        <v>1</v>
      </c>
    </row>
    <row r="40" spans="1:21">
      <c r="A40" s="2" t="s">
        <v>170</v>
      </c>
      <c r="B40" s="2" t="s">
        <v>140</v>
      </c>
      <c r="C40" s="2" t="str">
        <f t="shared" si="7"/>
        <v>2026-07-19</v>
      </c>
      <c r="D40" s="5">
        <f t="shared" si="8"/>
        <v>46222</v>
      </c>
      <c r="E40" s="2" t="s">
        <v>65</v>
      </c>
      <c r="F40" s="2" t="str">
        <f t="shared" si="9"/>
        <v>Bandung</v>
      </c>
      <c r="G40" s="2" t="s">
        <v>168</v>
      </c>
      <c r="H40" s="2" t="str">
        <f t="shared" si="10"/>
        <v>Mira Anjani</v>
      </c>
      <c r="I40" s="2" t="s">
        <v>171</v>
      </c>
      <c r="J40" s="2" t="str">
        <f t="shared" si="11"/>
        <v>Oscar Saputra</v>
      </c>
      <c r="K40" s="2" t="s">
        <v>99</v>
      </c>
      <c r="L40" s="2" t="s">
        <v>100</v>
      </c>
      <c r="M40" s="2">
        <v>1</v>
      </c>
      <c r="N40" s="3">
        <v>29800000</v>
      </c>
      <c r="O40" s="3">
        <v>0</v>
      </c>
      <c r="P40" s="3">
        <v>29800000</v>
      </c>
      <c r="Q40" s="3" t="str">
        <f t="shared" si="6"/>
        <v>Normal</v>
      </c>
      <c r="R40" s="2" t="s">
        <v>29</v>
      </c>
      <c r="S40" s="2" t="s">
        <v>22</v>
      </c>
      <c r="T40" s="2" t="s">
        <v>39</v>
      </c>
      <c r="U40">
        <f t="shared" si="0"/>
        <v>1</v>
      </c>
    </row>
    <row r="41" spans="1:21">
      <c r="A41" s="2" t="s">
        <v>172</v>
      </c>
      <c r="B41" s="2" t="s">
        <v>122</v>
      </c>
      <c r="C41" s="2" t="str">
        <f t="shared" si="7"/>
        <v>17/07/2026</v>
      </c>
      <c r="D41" s="5">
        <f t="shared" si="8"/>
        <v>46220</v>
      </c>
      <c r="E41" s="2" t="s">
        <v>71</v>
      </c>
      <c r="F41" s="2" t="str">
        <f t="shared" si="9"/>
        <v>Bekasi</v>
      </c>
      <c r="G41" s="2" t="s">
        <v>80</v>
      </c>
      <c r="H41" s="2" t="str">
        <f t="shared" si="10"/>
        <v>Kiki Amelia</v>
      </c>
      <c r="I41" s="2" t="s">
        <v>43</v>
      </c>
      <c r="J41" s="2" t="str">
        <f t="shared" si="11"/>
        <v>Hana Anggraini</v>
      </c>
      <c r="K41" s="2" t="s">
        <v>19</v>
      </c>
      <c r="L41" s="2" t="s">
        <v>20</v>
      </c>
      <c r="M41" s="2">
        <v>1</v>
      </c>
      <c r="N41" s="3">
        <v>33500000</v>
      </c>
      <c r="O41" s="3">
        <v>0</v>
      </c>
      <c r="P41" s="3">
        <v>33500000</v>
      </c>
      <c r="Q41" s="3" t="str">
        <f t="shared" si="6"/>
        <v>Normal</v>
      </c>
      <c r="R41" s="2" t="s">
        <v>62</v>
      </c>
      <c r="S41" s="2" t="s">
        <v>22</v>
      </c>
      <c r="T41" s="2" t="s">
        <v>39</v>
      </c>
      <c r="U41">
        <f t="shared" si="0"/>
        <v>1</v>
      </c>
    </row>
    <row r="42" spans="1:21">
      <c r="A42" s="2" t="s">
        <v>173</v>
      </c>
      <c r="B42" s="2" t="s">
        <v>15</v>
      </c>
      <c r="C42" s="2" t="str">
        <f t="shared" si="7"/>
        <v>2026-07-14</v>
      </c>
      <c r="D42" s="5">
        <f t="shared" si="8"/>
        <v>46217</v>
      </c>
      <c r="E42" s="2" t="s">
        <v>26</v>
      </c>
      <c r="F42" s="2" t="str">
        <f t="shared" si="9"/>
        <v>Sukabumi</v>
      </c>
      <c r="G42" s="2" t="s">
        <v>17</v>
      </c>
      <c r="H42" s="2" t="str">
        <f t="shared" si="10"/>
        <v>Taufik Hidayat</v>
      </c>
      <c r="I42" s="2" t="s">
        <v>174</v>
      </c>
      <c r="J42" s="2" t="str">
        <f t="shared" si="11"/>
        <v>Irfan Saputra</v>
      </c>
      <c r="K42" s="2" t="s">
        <v>44</v>
      </c>
      <c r="L42" s="2" t="s">
        <v>45</v>
      </c>
      <c r="M42" s="2">
        <v>1</v>
      </c>
      <c r="N42" s="3">
        <v>24600000</v>
      </c>
      <c r="O42" s="3">
        <v>738000</v>
      </c>
      <c r="P42" s="3">
        <v>23862000</v>
      </c>
      <c r="Q42" s="3" t="str">
        <f t="shared" si="6"/>
        <v>Normal</v>
      </c>
      <c r="R42" s="2" t="s">
        <v>62</v>
      </c>
      <c r="S42" s="2" t="s">
        <v>22</v>
      </c>
      <c r="T42" s="2" t="s">
        <v>39</v>
      </c>
      <c r="U42">
        <f t="shared" si="0"/>
        <v>1</v>
      </c>
    </row>
    <row r="43" spans="1:21">
      <c r="A43" s="2" t="s">
        <v>175</v>
      </c>
      <c r="B43" s="2" t="s">
        <v>108</v>
      </c>
      <c r="C43" s="2" t="str">
        <f t="shared" si="7"/>
        <v>2026-07-18</v>
      </c>
      <c r="D43" s="5">
        <f t="shared" si="8"/>
        <v>46221</v>
      </c>
      <c r="E43" s="2" t="s">
        <v>26</v>
      </c>
      <c r="F43" s="2" t="str">
        <f t="shared" si="9"/>
        <v>Sukabumi</v>
      </c>
      <c r="G43" s="2" t="s">
        <v>80</v>
      </c>
      <c r="H43" s="2" t="str">
        <f t="shared" si="10"/>
        <v>Kiki Amelia</v>
      </c>
      <c r="I43" s="2" t="s">
        <v>176</v>
      </c>
      <c r="J43" s="2" t="str">
        <f t="shared" si="11"/>
        <v>Citra Kusuma</v>
      </c>
      <c r="K43" s="2" t="s">
        <v>142</v>
      </c>
      <c r="L43" s="2" t="s">
        <v>143</v>
      </c>
      <c r="M43" s="2">
        <v>1</v>
      </c>
      <c r="N43" s="3">
        <v>18900000</v>
      </c>
      <c r="O43" s="3">
        <v>945000</v>
      </c>
      <c r="P43" s="3">
        <v>17955000</v>
      </c>
      <c r="Q43" s="3" t="str">
        <f t="shared" si="6"/>
        <v>Normal</v>
      </c>
      <c r="R43" s="2" t="s">
        <v>21</v>
      </c>
      <c r="S43" s="2" t="s">
        <v>22</v>
      </c>
      <c r="T43" s="2" t="s">
        <v>77</v>
      </c>
      <c r="U43">
        <f t="shared" si="0"/>
        <v>1</v>
      </c>
    </row>
    <row r="44" spans="1:21">
      <c r="A44" s="2" t="s">
        <v>177</v>
      </c>
      <c r="B44" s="2" t="s">
        <v>167</v>
      </c>
      <c r="C44" s="2" t="str">
        <f t="shared" si="7"/>
        <v>19/07/2026</v>
      </c>
      <c r="D44" s="5">
        <f t="shared" si="8"/>
        <v>46222</v>
      </c>
      <c r="E44" s="2" t="s">
        <v>48</v>
      </c>
      <c r="F44" s="2" t="str">
        <f t="shared" si="9"/>
        <v>Jakarta Selatan</v>
      </c>
      <c r="G44" s="2" t="s">
        <v>17</v>
      </c>
      <c r="H44" s="2" t="str">
        <f t="shared" si="10"/>
        <v>Taufik Hidayat</v>
      </c>
      <c r="I44" s="2" t="s">
        <v>178</v>
      </c>
      <c r="J44" s="2" t="str">
        <f t="shared" si="11"/>
        <v>Siska Lestari</v>
      </c>
      <c r="K44" s="2" t="s">
        <v>99</v>
      </c>
      <c r="L44" s="2" t="s">
        <v>100</v>
      </c>
      <c r="M44" s="2">
        <v>1</v>
      </c>
      <c r="N44" s="3">
        <v>29800000</v>
      </c>
      <c r="O44" s="3">
        <v>894000</v>
      </c>
      <c r="P44" s="3">
        <v>28906000</v>
      </c>
      <c r="Q44" s="3" t="str">
        <f t="shared" si="6"/>
        <v>Normal</v>
      </c>
      <c r="R44" s="2" t="s">
        <v>46</v>
      </c>
      <c r="S44" s="2" t="s">
        <v>87</v>
      </c>
      <c r="T44" s="2" t="s">
        <v>39</v>
      </c>
      <c r="U44">
        <f t="shared" si="0"/>
        <v>1</v>
      </c>
    </row>
    <row r="45" spans="1:21">
      <c r="A45" s="2" t="s">
        <v>179</v>
      </c>
      <c r="B45" s="2" t="s">
        <v>25</v>
      </c>
      <c r="C45" s="2" t="str">
        <f t="shared" si="7"/>
        <v>2026-07-16</v>
      </c>
      <c r="D45" s="5">
        <f t="shared" si="8"/>
        <v>46219</v>
      </c>
      <c r="E45" s="2" t="s">
        <v>85</v>
      </c>
      <c r="F45" s="2" t="str">
        <f t="shared" si="9"/>
        <v>Karawang</v>
      </c>
      <c r="G45" s="2" t="s">
        <v>72</v>
      </c>
      <c r="H45" s="2" t="str">
        <f t="shared" si="10"/>
        <v>Sari Dewi</v>
      </c>
      <c r="I45" s="2" t="s">
        <v>180</v>
      </c>
      <c r="J45" s="2" t="str">
        <f t="shared" si="11"/>
        <v>Ahmad Anggraini</v>
      </c>
      <c r="K45" s="2" t="s">
        <v>99</v>
      </c>
      <c r="L45" s="2" t="s">
        <v>100</v>
      </c>
      <c r="M45" s="2">
        <v>1</v>
      </c>
      <c r="N45" s="3">
        <v>29800000</v>
      </c>
      <c r="O45" s="3">
        <v>1490000</v>
      </c>
      <c r="P45" s="3">
        <v>28310000</v>
      </c>
      <c r="Q45" s="3" t="str">
        <f t="shared" si="6"/>
        <v>Normal</v>
      </c>
      <c r="R45" s="2" t="s">
        <v>38</v>
      </c>
      <c r="S45" s="2" t="s">
        <v>22</v>
      </c>
      <c r="T45" s="2" t="s">
        <v>30</v>
      </c>
      <c r="U45">
        <f t="shared" si="0"/>
        <v>1</v>
      </c>
    </row>
    <row r="46" spans="1:21">
      <c r="A46" s="2" t="s">
        <v>181</v>
      </c>
      <c r="B46" s="2" t="s">
        <v>25</v>
      </c>
      <c r="C46" s="2" t="str">
        <f t="shared" si="7"/>
        <v>2026-07-16</v>
      </c>
      <c r="D46" s="5">
        <f t="shared" si="8"/>
        <v>46219</v>
      </c>
      <c r="E46" s="2" t="s">
        <v>182</v>
      </c>
      <c r="F46" s="2" t="str">
        <f t="shared" si="9"/>
        <v>Bogor</v>
      </c>
      <c r="G46" s="2" t="s">
        <v>17</v>
      </c>
      <c r="H46" s="2" t="str">
        <f t="shared" si="10"/>
        <v>Taufik Hidayat</v>
      </c>
      <c r="I46" s="2" t="s">
        <v>183</v>
      </c>
      <c r="J46" s="2" t="str">
        <f t="shared" si="11"/>
        <v>Galih Hidayat</v>
      </c>
      <c r="K46" s="2" t="s">
        <v>44</v>
      </c>
      <c r="L46" s="2" t="s">
        <v>45</v>
      </c>
      <c r="M46" s="2">
        <v>1</v>
      </c>
      <c r="N46" s="3">
        <v>24600000</v>
      </c>
      <c r="O46" s="3">
        <v>738000</v>
      </c>
      <c r="P46" s="3">
        <v>23862000</v>
      </c>
      <c r="Q46" s="3" t="str">
        <f t="shared" si="6"/>
        <v>Normal</v>
      </c>
      <c r="R46" s="2" t="s">
        <v>46</v>
      </c>
      <c r="S46" s="2" t="s">
        <v>82</v>
      </c>
      <c r="T46" s="2" t="s">
        <v>77</v>
      </c>
      <c r="U46">
        <f t="shared" si="0"/>
        <v>1</v>
      </c>
    </row>
    <row r="47" spans="1:21">
      <c r="A47" s="2" t="s">
        <v>184</v>
      </c>
      <c r="B47" s="2" t="s">
        <v>84</v>
      </c>
      <c r="C47" s="2" t="str">
        <f t="shared" si="7"/>
        <v>2026-07-15</v>
      </c>
      <c r="D47" s="5">
        <f t="shared" si="8"/>
        <v>46218</v>
      </c>
      <c r="E47" s="2" t="s">
        <v>85</v>
      </c>
      <c r="F47" s="2" t="str">
        <f t="shared" si="9"/>
        <v>Karawang</v>
      </c>
      <c r="G47" s="2" t="s">
        <v>98</v>
      </c>
      <c r="H47" s="2" t="str">
        <f t="shared" si="10"/>
        <v>Rangga Saputra</v>
      </c>
      <c r="I47" s="2" t="s">
        <v>146</v>
      </c>
      <c r="J47" s="2" t="str">
        <f t="shared" si="11"/>
        <v>Ahmad Wijaya</v>
      </c>
      <c r="K47" s="2" t="s">
        <v>19</v>
      </c>
      <c r="L47" s="2" t="s">
        <v>20</v>
      </c>
      <c r="M47" s="2">
        <v>1</v>
      </c>
      <c r="N47" s="3">
        <v>33500000</v>
      </c>
      <c r="O47" s="3">
        <v>1005000</v>
      </c>
      <c r="P47" s="3">
        <v>32495000</v>
      </c>
      <c r="Q47" s="3" t="str">
        <f t="shared" si="6"/>
        <v>Normal</v>
      </c>
      <c r="R47" s="2" t="s">
        <v>21</v>
      </c>
      <c r="S47" s="2" t="s">
        <v>82</v>
      </c>
      <c r="T47" s="2" t="s">
        <v>39</v>
      </c>
      <c r="U47">
        <f t="shared" si="0"/>
        <v>1</v>
      </c>
    </row>
    <row r="48" spans="1:21">
      <c r="A48" s="2" t="s">
        <v>185</v>
      </c>
      <c r="B48" s="2" t="s">
        <v>108</v>
      </c>
      <c r="C48" s="2" t="str">
        <f t="shared" si="7"/>
        <v>2026-07-18</v>
      </c>
      <c r="D48" s="5">
        <f t="shared" si="8"/>
        <v>46221</v>
      </c>
      <c r="E48" s="2" t="s">
        <v>65</v>
      </c>
      <c r="F48" s="2" t="str">
        <f t="shared" si="9"/>
        <v>Bandung</v>
      </c>
      <c r="G48" s="2" t="s">
        <v>130</v>
      </c>
      <c r="H48" s="2" t="str">
        <f t="shared" si="10"/>
        <v>Indah Permata</v>
      </c>
      <c r="I48" s="2" t="s">
        <v>120</v>
      </c>
      <c r="J48" s="2" t="str">
        <f t="shared" si="11"/>
        <v>Oscar Hidayat</v>
      </c>
      <c r="K48" s="2" t="s">
        <v>99</v>
      </c>
      <c r="L48" s="2" t="s">
        <v>100</v>
      </c>
      <c r="M48" s="2">
        <v>1</v>
      </c>
      <c r="N48" s="3">
        <v>29800000</v>
      </c>
      <c r="O48" s="3">
        <v>1490000</v>
      </c>
      <c r="P48" s="3">
        <v>28310000</v>
      </c>
      <c r="Q48" s="3" t="str">
        <f t="shared" si="6"/>
        <v>Normal</v>
      </c>
      <c r="R48" s="2" t="s">
        <v>46</v>
      </c>
      <c r="S48" s="2" t="s">
        <v>22</v>
      </c>
      <c r="T48" s="2" t="s">
        <v>23</v>
      </c>
      <c r="U48">
        <f t="shared" si="0"/>
        <v>1</v>
      </c>
    </row>
    <row r="49" spans="1:21">
      <c r="A49" s="2" t="s">
        <v>186</v>
      </c>
      <c r="B49" s="2" t="s">
        <v>84</v>
      </c>
      <c r="C49" s="2" t="str">
        <f t="shared" si="7"/>
        <v>2026-07-15</v>
      </c>
      <c r="D49" s="5">
        <f t="shared" si="8"/>
        <v>46218</v>
      </c>
      <c r="E49" s="2" t="s">
        <v>155</v>
      </c>
      <c r="F49" s="2" t="str">
        <f t="shared" si="9"/>
        <v>Tangerang</v>
      </c>
      <c r="G49" s="2" t="s">
        <v>113</v>
      </c>
      <c r="H49" s="2" t="str">
        <f t="shared" si="10"/>
        <v>Lukman Hakim</v>
      </c>
      <c r="I49" s="2" t="s">
        <v>187</v>
      </c>
      <c r="J49" s="2" t="str">
        <f t="shared" si="11"/>
        <v>Tono Anggraini</v>
      </c>
      <c r="K49" s="2" t="s">
        <v>68</v>
      </c>
      <c r="L49" s="2" t="s">
        <v>69</v>
      </c>
      <c r="M49" s="2">
        <v>1</v>
      </c>
      <c r="N49" s="3">
        <v>17800000</v>
      </c>
      <c r="O49" s="3">
        <v>0</v>
      </c>
      <c r="P49" s="3">
        <v>17800000</v>
      </c>
      <c r="Q49" s="3" t="str">
        <f t="shared" si="6"/>
        <v>Normal</v>
      </c>
      <c r="R49" s="2" t="s">
        <v>38</v>
      </c>
      <c r="S49" s="2" t="s">
        <v>82</v>
      </c>
      <c r="T49" s="2" t="s">
        <v>30</v>
      </c>
      <c r="U49">
        <f t="shared" si="0"/>
        <v>1</v>
      </c>
    </row>
    <row r="50" spans="1:21">
      <c r="A50" s="2" t="s">
        <v>188</v>
      </c>
      <c r="B50" s="2" t="s">
        <v>189</v>
      </c>
      <c r="C50" s="2" t="str">
        <f t="shared" si="7"/>
        <v>14/07/2026</v>
      </c>
      <c r="D50" s="5">
        <f t="shared" si="8"/>
        <v>46217</v>
      </c>
      <c r="E50" s="2" t="s">
        <v>85</v>
      </c>
      <c r="F50" s="2" t="str">
        <f t="shared" si="9"/>
        <v>Karawang</v>
      </c>
      <c r="G50" s="2" t="s">
        <v>54</v>
      </c>
      <c r="H50" s="2" t="str">
        <f t="shared" si="10"/>
        <v>Hadi Santoso</v>
      </c>
      <c r="I50" s="2" t="s">
        <v>190</v>
      </c>
      <c r="J50" s="2" t="str">
        <f t="shared" si="11"/>
        <v>Hana Hidayat</v>
      </c>
      <c r="K50" s="2" t="s">
        <v>51</v>
      </c>
      <c r="L50" s="2" t="s">
        <v>52</v>
      </c>
      <c r="M50" s="2">
        <v>1</v>
      </c>
      <c r="N50" s="3">
        <v>41000000</v>
      </c>
      <c r="O50" s="3">
        <v>1230000</v>
      </c>
      <c r="P50" s="3">
        <v>39770000</v>
      </c>
      <c r="Q50" s="3" t="str">
        <f t="shared" si="6"/>
        <v>Normal</v>
      </c>
      <c r="R50" s="2" t="s">
        <v>38</v>
      </c>
      <c r="S50" s="2" t="s">
        <v>22</v>
      </c>
      <c r="T50" s="2" t="s">
        <v>39</v>
      </c>
      <c r="U50">
        <f t="shared" si="0"/>
        <v>1</v>
      </c>
    </row>
    <row r="51" spans="1:21">
      <c r="A51" s="2" t="s">
        <v>191</v>
      </c>
      <c r="B51" s="2" t="s">
        <v>102</v>
      </c>
      <c r="C51" s="2" t="str">
        <f t="shared" si="7"/>
        <v>18/07/2026</v>
      </c>
      <c r="D51" s="5">
        <f t="shared" si="8"/>
        <v>46221</v>
      </c>
      <c r="E51" s="2" t="s">
        <v>71</v>
      </c>
      <c r="F51" s="2" t="str">
        <f t="shared" si="9"/>
        <v>Bekasi</v>
      </c>
      <c r="G51" s="2" t="s">
        <v>58</v>
      </c>
      <c r="H51" s="2" t="str">
        <f t="shared" si="10"/>
        <v>Umi Kalsum</v>
      </c>
      <c r="I51" s="2" t="s">
        <v>192</v>
      </c>
      <c r="J51" s="2" t="str">
        <f t="shared" si="11"/>
        <v>Siska Maharani</v>
      </c>
      <c r="K51" s="2" t="s">
        <v>19</v>
      </c>
      <c r="L51" s="2" t="s">
        <v>20</v>
      </c>
      <c r="M51" s="2">
        <v>1</v>
      </c>
      <c r="N51" s="3">
        <v>33500000</v>
      </c>
      <c r="O51" s="3">
        <v>1675000</v>
      </c>
      <c r="P51" s="3">
        <v>31825000</v>
      </c>
      <c r="Q51" s="3" t="str">
        <f t="shared" si="6"/>
        <v>Normal</v>
      </c>
      <c r="R51" s="2" t="s">
        <v>46</v>
      </c>
      <c r="S51" s="2" t="s">
        <v>82</v>
      </c>
      <c r="T51" s="2" t="s">
        <v>30</v>
      </c>
      <c r="U51">
        <f t="shared" si="0"/>
        <v>1</v>
      </c>
    </row>
    <row r="52" spans="1:21">
      <c r="A52" s="2" t="s">
        <v>193</v>
      </c>
      <c r="B52" s="2" t="s">
        <v>25</v>
      </c>
      <c r="C52" s="2" t="str">
        <f t="shared" si="7"/>
        <v>2026-07-16</v>
      </c>
      <c r="D52" s="5">
        <f t="shared" si="8"/>
        <v>46219</v>
      </c>
      <c r="E52" s="2" t="s">
        <v>97</v>
      </c>
      <c r="F52" s="2" t="str">
        <f t="shared" si="9"/>
        <v>Serang</v>
      </c>
      <c r="G52" s="2" t="s">
        <v>130</v>
      </c>
      <c r="H52" s="2" t="str">
        <f t="shared" si="10"/>
        <v>Indah Permata</v>
      </c>
      <c r="I52" s="2" t="s">
        <v>194</v>
      </c>
      <c r="J52" s="2" t="str">
        <f t="shared" si="11"/>
        <v>Eko Saputra</v>
      </c>
      <c r="K52" s="2" t="s">
        <v>91</v>
      </c>
      <c r="L52" s="2" t="s">
        <v>92</v>
      </c>
      <c r="M52" s="2">
        <v>1</v>
      </c>
      <c r="N52" s="3">
        <v>26900000</v>
      </c>
      <c r="O52" s="3">
        <v>0</v>
      </c>
      <c r="P52" s="3">
        <v>26900000</v>
      </c>
      <c r="Q52" s="3" t="str">
        <f t="shared" si="6"/>
        <v>Normal</v>
      </c>
      <c r="R52" s="2" t="s">
        <v>29</v>
      </c>
      <c r="S52" s="2" t="s">
        <v>22</v>
      </c>
      <c r="T52" s="2" t="s">
        <v>23</v>
      </c>
      <c r="U52">
        <f t="shared" si="0"/>
        <v>1</v>
      </c>
    </row>
    <row r="53" spans="1:21">
      <c r="A53" s="2" t="s">
        <v>195</v>
      </c>
      <c r="B53" s="2" t="s">
        <v>108</v>
      </c>
      <c r="C53" s="2" t="str">
        <f t="shared" si="7"/>
        <v>2026-07-18</v>
      </c>
      <c r="D53" s="5">
        <f t="shared" si="8"/>
        <v>46221</v>
      </c>
      <c r="E53" s="2" t="s">
        <v>182</v>
      </c>
      <c r="F53" s="2" t="str">
        <f t="shared" si="9"/>
        <v>Bogor</v>
      </c>
      <c r="G53" s="2" t="s">
        <v>27</v>
      </c>
      <c r="H53" s="2" t="str">
        <f t="shared" si="10"/>
        <v>Vino Bastian G.</v>
      </c>
      <c r="I53" s="2" t="s">
        <v>90</v>
      </c>
      <c r="J53" s="2" t="str">
        <f t="shared" si="11"/>
        <v>Kevin Kusuma</v>
      </c>
      <c r="K53" s="2" t="s">
        <v>142</v>
      </c>
      <c r="L53" s="2" t="s">
        <v>143</v>
      </c>
      <c r="M53" s="2">
        <v>1</v>
      </c>
      <c r="N53" s="3">
        <v>18900000</v>
      </c>
      <c r="O53" s="3">
        <v>0</v>
      </c>
      <c r="P53" s="3">
        <v>18900000</v>
      </c>
      <c r="Q53" s="3" t="str">
        <f t="shared" si="6"/>
        <v>Normal</v>
      </c>
      <c r="R53" s="2" t="s">
        <v>62</v>
      </c>
      <c r="S53" s="2" t="s">
        <v>22</v>
      </c>
      <c r="T53" s="2" t="s">
        <v>23</v>
      </c>
      <c r="U53">
        <f t="shared" si="0"/>
        <v>1</v>
      </c>
    </row>
    <row r="54" spans="1:21">
      <c r="A54" s="2" t="s">
        <v>196</v>
      </c>
      <c r="B54" s="2" t="s">
        <v>79</v>
      </c>
      <c r="C54" s="2" t="str">
        <f t="shared" si="7"/>
        <v>19/07/2026</v>
      </c>
      <c r="D54" s="5">
        <f t="shared" si="8"/>
        <v>46222</v>
      </c>
      <c r="E54" s="2" t="s">
        <v>16</v>
      </c>
      <c r="F54" s="2" t="str">
        <f t="shared" si="9"/>
        <v>Cibubur</v>
      </c>
      <c r="G54" s="2" t="s">
        <v>113</v>
      </c>
      <c r="H54" s="2" t="str">
        <f t="shared" si="10"/>
        <v>Lukman Hakim</v>
      </c>
      <c r="I54" s="2" t="s">
        <v>197</v>
      </c>
      <c r="J54" s="2" t="str">
        <f t="shared" si="11"/>
        <v>Jihan Lestari</v>
      </c>
      <c r="K54" s="2" t="s">
        <v>142</v>
      </c>
      <c r="L54" s="2" t="s">
        <v>143</v>
      </c>
      <c r="M54" s="2">
        <v>2</v>
      </c>
      <c r="N54" s="3">
        <v>18900000</v>
      </c>
      <c r="O54" s="3">
        <v>1890000</v>
      </c>
      <c r="P54" s="3">
        <v>35910000</v>
      </c>
      <c r="Q54" s="3" t="str">
        <f t="shared" si="6"/>
        <v>Normal</v>
      </c>
      <c r="R54" s="2" t="s">
        <v>38</v>
      </c>
      <c r="S54" s="2" t="s">
        <v>22</v>
      </c>
      <c r="T54" s="2" t="s">
        <v>30</v>
      </c>
      <c r="U54">
        <f t="shared" si="0"/>
        <v>1</v>
      </c>
    </row>
    <row r="55" spans="1:21">
      <c r="A55" s="2" t="s">
        <v>198</v>
      </c>
      <c r="B55" s="2" t="s">
        <v>41</v>
      </c>
      <c r="C55" s="2" t="str">
        <f t="shared" si="7"/>
        <v>15/07/2026</v>
      </c>
      <c r="D55" s="5">
        <f t="shared" si="8"/>
        <v>46218</v>
      </c>
      <c r="E55" s="2" t="s">
        <v>33</v>
      </c>
      <c r="F55" s="2" t="str">
        <f t="shared" si="9"/>
        <v>Depok</v>
      </c>
      <c r="G55" s="2" t="s">
        <v>54</v>
      </c>
      <c r="H55" s="2" t="str">
        <f t="shared" si="10"/>
        <v>Hadi Santoso</v>
      </c>
      <c r="I55" s="2" t="s">
        <v>199</v>
      </c>
      <c r="J55" s="2" t="str">
        <f t="shared" si="11"/>
        <v>Siska Anggraini</v>
      </c>
      <c r="K55" s="2" t="s">
        <v>99</v>
      </c>
      <c r="L55" s="2" t="s">
        <v>100</v>
      </c>
      <c r="M55" s="2">
        <v>1</v>
      </c>
      <c r="N55" s="3">
        <v>29800000</v>
      </c>
      <c r="O55" s="3">
        <v>596000</v>
      </c>
      <c r="P55" s="3">
        <v>29204000</v>
      </c>
      <c r="Q55" s="3" t="str">
        <f t="shared" si="6"/>
        <v>Normal</v>
      </c>
      <c r="R55" s="2" t="s">
        <v>29</v>
      </c>
      <c r="S55" s="2" t="s">
        <v>22</v>
      </c>
      <c r="T55" s="2" t="s">
        <v>23</v>
      </c>
      <c r="U55">
        <f t="shared" si="0"/>
        <v>1</v>
      </c>
    </row>
    <row r="56" spans="1:21">
      <c r="A56" s="2" t="s">
        <v>200</v>
      </c>
      <c r="B56" s="2" t="s">
        <v>57</v>
      </c>
      <c r="C56" s="2" t="str">
        <f t="shared" si="7"/>
        <v>2026-07-17</v>
      </c>
      <c r="D56" s="5">
        <f t="shared" si="8"/>
        <v>46220</v>
      </c>
      <c r="E56" s="2" t="s">
        <v>112</v>
      </c>
      <c r="F56" s="2" t="str">
        <f t="shared" si="9"/>
        <v>Jakarta Timur</v>
      </c>
      <c r="G56" s="2" t="s">
        <v>201</v>
      </c>
      <c r="H56" s="2" t="str">
        <f t="shared" si="10"/>
        <v>Nanda Pratama</v>
      </c>
      <c r="I56" s="2" t="s">
        <v>202</v>
      </c>
      <c r="J56" s="2" t="str">
        <f t="shared" si="11"/>
        <v>Citra Maharani</v>
      </c>
      <c r="K56" s="2" t="s">
        <v>19</v>
      </c>
      <c r="L56" s="2" t="s">
        <v>20</v>
      </c>
      <c r="M56" s="2">
        <v>1</v>
      </c>
      <c r="N56" s="3">
        <v>33500000</v>
      </c>
      <c r="O56" s="3">
        <v>0</v>
      </c>
      <c r="P56" s="3">
        <v>33500000</v>
      </c>
      <c r="Q56" s="3" t="str">
        <f t="shared" si="6"/>
        <v>Normal</v>
      </c>
      <c r="R56" s="2" t="s">
        <v>46</v>
      </c>
      <c r="S56" s="2" t="s">
        <v>82</v>
      </c>
      <c r="T56" s="2" t="s">
        <v>23</v>
      </c>
      <c r="U56">
        <f t="shared" si="0"/>
        <v>1</v>
      </c>
    </row>
    <row r="57" spans="1:21">
      <c r="A57" s="2" t="s">
        <v>203</v>
      </c>
      <c r="B57" s="2" t="s">
        <v>140</v>
      </c>
      <c r="C57" s="2" t="str">
        <f t="shared" si="7"/>
        <v>2026-07-19</v>
      </c>
      <c r="D57" s="5">
        <f t="shared" si="8"/>
        <v>46222</v>
      </c>
      <c r="E57" s="2" t="s">
        <v>97</v>
      </c>
      <c r="F57" s="2" t="str">
        <f t="shared" si="9"/>
        <v>Serang</v>
      </c>
      <c r="G57" s="2" t="s">
        <v>42</v>
      </c>
      <c r="H57" s="2" t="str">
        <f t="shared" si="10"/>
        <v>Lina Marlina</v>
      </c>
      <c r="I57" s="2" t="s">
        <v>204</v>
      </c>
      <c r="J57" s="2" t="str">
        <f t="shared" si="11"/>
        <v>Qori Firmansyah</v>
      </c>
      <c r="K57" s="2" t="s">
        <v>19</v>
      </c>
      <c r="L57" s="2" t="s">
        <v>20</v>
      </c>
      <c r="M57" s="2">
        <v>1</v>
      </c>
      <c r="N57" s="3">
        <v>33500000</v>
      </c>
      <c r="O57" s="3">
        <v>1005000</v>
      </c>
      <c r="P57" s="3">
        <v>32495000</v>
      </c>
      <c r="Q57" s="3" t="str">
        <f t="shared" si="6"/>
        <v>Normal</v>
      </c>
      <c r="R57" s="2" t="s">
        <v>62</v>
      </c>
      <c r="S57" s="2" t="s">
        <v>22</v>
      </c>
      <c r="T57" s="2" t="s">
        <v>30</v>
      </c>
      <c r="U57">
        <f t="shared" si="0"/>
        <v>1</v>
      </c>
    </row>
    <row r="58" spans="1:21">
      <c r="A58" s="2" t="s">
        <v>205</v>
      </c>
      <c r="B58" s="2" t="s">
        <v>25</v>
      </c>
      <c r="C58" s="2" t="str">
        <f t="shared" si="7"/>
        <v>2026-07-16</v>
      </c>
      <c r="D58" s="5">
        <f t="shared" si="8"/>
        <v>46219</v>
      </c>
      <c r="E58" s="2" t="s">
        <v>33</v>
      </c>
      <c r="F58" s="2" t="str">
        <f t="shared" si="9"/>
        <v>Depok</v>
      </c>
      <c r="G58" s="2" t="s">
        <v>54</v>
      </c>
      <c r="H58" s="2" t="str">
        <f t="shared" si="10"/>
        <v>Hadi Santoso</v>
      </c>
      <c r="I58" s="2" t="s">
        <v>138</v>
      </c>
      <c r="J58" s="2" t="str">
        <f t="shared" si="11"/>
        <v>Tono Wijaya</v>
      </c>
      <c r="K58" s="2" t="s">
        <v>68</v>
      </c>
      <c r="L58" s="2" t="s">
        <v>69</v>
      </c>
      <c r="M58" s="2">
        <v>1</v>
      </c>
      <c r="N58" s="3">
        <v>17800000</v>
      </c>
      <c r="O58" s="3">
        <v>534000</v>
      </c>
      <c r="P58" s="3">
        <v>17266000</v>
      </c>
      <c r="Q58" s="3" t="str">
        <f t="shared" si="6"/>
        <v>Normal</v>
      </c>
      <c r="R58" s="2" t="s">
        <v>38</v>
      </c>
      <c r="S58" s="2" t="s">
        <v>22</v>
      </c>
      <c r="T58" s="2" t="s">
        <v>77</v>
      </c>
      <c r="U58">
        <f t="shared" si="0"/>
        <v>1</v>
      </c>
    </row>
    <row r="59" spans="1:21">
      <c r="A59" s="2" t="s">
        <v>206</v>
      </c>
      <c r="B59" s="2" t="s">
        <v>140</v>
      </c>
      <c r="C59" s="2" t="str">
        <f t="shared" si="7"/>
        <v>2026-07-19</v>
      </c>
      <c r="D59" s="5">
        <f t="shared" si="8"/>
        <v>46222</v>
      </c>
      <c r="E59" s="2" t="s">
        <v>33</v>
      </c>
      <c r="F59" s="2" t="str">
        <f t="shared" si="9"/>
        <v>Depok</v>
      </c>
      <c r="G59" s="2" t="s">
        <v>168</v>
      </c>
      <c r="H59" s="2" t="str">
        <f t="shared" si="10"/>
        <v>Mira Anjani</v>
      </c>
      <c r="I59" s="2" t="s">
        <v>207</v>
      </c>
      <c r="J59" s="2" t="str">
        <f t="shared" si="11"/>
        <v>Kevin Anggraini</v>
      </c>
      <c r="K59" s="2" t="s">
        <v>51</v>
      </c>
      <c r="L59" s="2" t="s">
        <v>52</v>
      </c>
      <c r="M59" s="2">
        <v>1</v>
      </c>
      <c r="N59" s="3">
        <v>41000000</v>
      </c>
      <c r="O59" s="3">
        <v>2050000</v>
      </c>
      <c r="P59" s="3">
        <v>38950000</v>
      </c>
      <c r="Q59" s="3" t="str">
        <f t="shared" si="6"/>
        <v>Normal</v>
      </c>
      <c r="R59" s="2" t="s">
        <v>21</v>
      </c>
      <c r="S59" s="2" t="s">
        <v>22</v>
      </c>
      <c r="T59" s="2" t="s">
        <v>77</v>
      </c>
      <c r="U59">
        <f t="shared" si="0"/>
        <v>1</v>
      </c>
    </row>
    <row r="60" spans="1:21">
      <c r="A60" s="2" t="s">
        <v>208</v>
      </c>
      <c r="B60" s="2" t="s">
        <v>108</v>
      </c>
      <c r="C60" s="2" t="str">
        <f t="shared" si="7"/>
        <v>2026-07-18</v>
      </c>
      <c r="D60" s="5">
        <f t="shared" si="8"/>
        <v>46221</v>
      </c>
      <c r="E60" s="2" t="s">
        <v>97</v>
      </c>
      <c r="F60" s="2" t="str">
        <f t="shared" si="9"/>
        <v>Serang</v>
      </c>
      <c r="G60" s="2" t="s">
        <v>17</v>
      </c>
      <c r="H60" s="2" t="str">
        <f t="shared" si="10"/>
        <v>Taufik Hidayat</v>
      </c>
      <c r="I60" s="2" t="s">
        <v>209</v>
      </c>
      <c r="J60" s="2" t="str">
        <f t="shared" si="11"/>
        <v>Eko Pratama</v>
      </c>
      <c r="K60" s="2" t="s">
        <v>19</v>
      </c>
      <c r="L60" s="2" t="s">
        <v>20</v>
      </c>
      <c r="M60" s="2">
        <v>1</v>
      </c>
      <c r="N60" s="3">
        <v>33500000</v>
      </c>
      <c r="O60" s="3">
        <v>670000</v>
      </c>
      <c r="P60" s="3">
        <v>32830000</v>
      </c>
      <c r="Q60" s="3" t="str">
        <f t="shared" si="6"/>
        <v>Normal</v>
      </c>
      <c r="R60" s="2" t="s">
        <v>21</v>
      </c>
      <c r="S60" s="2" t="s">
        <v>22</v>
      </c>
      <c r="T60" s="2" t="s">
        <v>77</v>
      </c>
      <c r="U60">
        <f t="shared" si="0"/>
        <v>1</v>
      </c>
    </row>
    <row r="61" spans="1:21">
      <c r="A61" s="2" t="s">
        <v>210</v>
      </c>
      <c r="B61" s="2" t="s">
        <v>211</v>
      </c>
      <c r="C61" s="2" t="str">
        <f t="shared" si="7"/>
        <v>17/07/2026</v>
      </c>
      <c r="D61" s="5">
        <f t="shared" si="8"/>
        <v>46220</v>
      </c>
      <c r="E61" s="2" t="s">
        <v>212</v>
      </c>
      <c r="F61" s="2" t="str">
        <f t="shared" si="9"/>
        <v>Tangerang</v>
      </c>
      <c r="G61" s="2"/>
      <c r="H61" s="2" t="str">
        <f t="shared" si="10"/>
        <v>Unknown</v>
      </c>
      <c r="I61" s="2" t="s">
        <v>213</v>
      </c>
      <c r="J61" s="2" t="str">
        <f t="shared" si="11"/>
        <v>Fitri Anggraini</v>
      </c>
      <c r="K61" s="2" t="s">
        <v>51</v>
      </c>
      <c r="L61" s="2" t="s">
        <v>52</v>
      </c>
      <c r="M61" s="2">
        <v>1</v>
      </c>
      <c r="N61" s="3">
        <v>41000000</v>
      </c>
      <c r="O61" s="3">
        <v>0</v>
      </c>
      <c r="P61" s="3">
        <v>41000000</v>
      </c>
      <c r="Q61" s="3" t="str">
        <f t="shared" si="6"/>
        <v>Normal</v>
      </c>
      <c r="R61" s="2" t="s">
        <v>62</v>
      </c>
      <c r="S61" s="2" t="s">
        <v>87</v>
      </c>
      <c r="T61" s="2" t="s">
        <v>30</v>
      </c>
      <c r="U61">
        <f t="shared" si="0"/>
        <v>1</v>
      </c>
    </row>
    <row r="62" spans="1:21">
      <c r="A62" s="2" t="s">
        <v>214</v>
      </c>
      <c r="B62" s="2" t="s">
        <v>215</v>
      </c>
      <c r="C62" s="2" t="str">
        <f t="shared" si="7"/>
        <v>13/07/2026</v>
      </c>
      <c r="D62" s="5">
        <f t="shared" si="8"/>
        <v>46216</v>
      </c>
      <c r="E62" s="2" t="s">
        <v>65</v>
      </c>
      <c r="F62" s="2" t="str">
        <f t="shared" si="9"/>
        <v>Bandung</v>
      </c>
      <c r="G62" s="2" t="s">
        <v>130</v>
      </c>
      <c r="H62" s="2" t="str">
        <f t="shared" si="10"/>
        <v>Indah Permata</v>
      </c>
      <c r="I62" s="2" t="s">
        <v>216</v>
      </c>
      <c r="J62" s="2" t="str">
        <f t="shared" si="11"/>
        <v>Budi Hidayat</v>
      </c>
      <c r="K62" s="2" t="s">
        <v>60</v>
      </c>
      <c r="L62" s="2" t="s">
        <v>61</v>
      </c>
      <c r="M62" s="2">
        <v>1</v>
      </c>
      <c r="N62" s="3">
        <v>21500000</v>
      </c>
      <c r="O62" s="3">
        <v>1075000</v>
      </c>
      <c r="P62" s="3">
        <v>20425000</v>
      </c>
      <c r="Q62" s="3" t="str">
        <f t="shared" si="6"/>
        <v>Normal</v>
      </c>
      <c r="R62" s="2" t="s">
        <v>46</v>
      </c>
      <c r="S62" s="2" t="s">
        <v>22</v>
      </c>
      <c r="T62" s="2" t="s">
        <v>30</v>
      </c>
      <c r="U62">
        <f t="shared" si="0"/>
        <v>1</v>
      </c>
    </row>
    <row r="63" spans="1:21">
      <c r="A63" s="2" t="s">
        <v>217</v>
      </c>
      <c r="B63" s="2" t="s">
        <v>57</v>
      </c>
      <c r="C63" s="2" t="str">
        <f t="shared" si="7"/>
        <v>2026-07-17</v>
      </c>
      <c r="D63" s="5">
        <f t="shared" si="8"/>
        <v>46220</v>
      </c>
      <c r="E63" s="2" t="s">
        <v>155</v>
      </c>
      <c r="F63" s="2" t="str">
        <f t="shared" si="9"/>
        <v>Tangerang</v>
      </c>
      <c r="G63" s="2" t="s">
        <v>168</v>
      </c>
      <c r="H63" s="2" t="str">
        <f t="shared" si="10"/>
        <v>Mira Anjani</v>
      </c>
      <c r="I63" s="2" t="s">
        <v>35</v>
      </c>
      <c r="J63" s="2" t="str">
        <f t="shared" si="11"/>
        <v>Putra Hidayat</v>
      </c>
      <c r="K63" s="2" t="s">
        <v>152</v>
      </c>
      <c r="L63" s="2" t="s">
        <v>153</v>
      </c>
      <c r="M63" s="2">
        <v>1</v>
      </c>
      <c r="N63" s="3">
        <v>27400000</v>
      </c>
      <c r="O63" s="3">
        <v>1370000</v>
      </c>
      <c r="P63" s="3">
        <v>26030000</v>
      </c>
      <c r="Q63" s="3" t="str">
        <f t="shared" si="6"/>
        <v>Normal</v>
      </c>
      <c r="R63" s="2" t="s">
        <v>21</v>
      </c>
      <c r="S63" s="2" t="s">
        <v>82</v>
      </c>
      <c r="T63" s="2" t="s">
        <v>39</v>
      </c>
      <c r="U63">
        <f t="shared" si="0"/>
        <v>1</v>
      </c>
    </row>
    <row r="64" spans="1:21">
      <c r="A64" s="2" t="s">
        <v>218</v>
      </c>
      <c r="B64" s="2" t="s">
        <v>215</v>
      </c>
      <c r="C64" s="2" t="str">
        <f t="shared" si="7"/>
        <v>13/07/2026</v>
      </c>
      <c r="D64" s="5">
        <f t="shared" si="8"/>
        <v>46216</v>
      </c>
      <c r="E64" s="2" t="s">
        <v>16</v>
      </c>
      <c r="F64" s="2" t="str">
        <f t="shared" si="9"/>
        <v>Cibubur</v>
      </c>
      <c r="G64" s="2" t="s">
        <v>34</v>
      </c>
      <c r="H64" s="2" t="str">
        <f t="shared" si="10"/>
        <v>Joko Widodo S.</v>
      </c>
      <c r="I64" s="2" t="s">
        <v>219</v>
      </c>
      <c r="J64" s="2" t="str">
        <f t="shared" si="11"/>
        <v>Tono Ramadhan</v>
      </c>
      <c r="K64" s="2" t="s">
        <v>19</v>
      </c>
      <c r="L64" s="2" t="s">
        <v>20</v>
      </c>
      <c r="M64" s="2">
        <v>2</v>
      </c>
      <c r="N64" s="3">
        <v>33500000</v>
      </c>
      <c r="O64" s="3">
        <v>0</v>
      </c>
      <c r="P64" s="3">
        <v>67000000</v>
      </c>
      <c r="Q64" s="3" t="str">
        <f t="shared" si="6"/>
        <v>Normal</v>
      </c>
      <c r="R64" s="2" t="s">
        <v>29</v>
      </c>
      <c r="S64" s="2" t="s">
        <v>22</v>
      </c>
      <c r="T64" s="2" t="s">
        <v>77</v>
      </c>
      <c r="U64">
        <f t="shared" si="0"/>
        <v>1</v>
      </c>
    </row>
    <row r="65" spans="1:21">
      <c r="A65" s="2" t="s">
        <v>220</v>
      </c>
      <c r="B65" s="2" t="s">
        <v>84</v>
      </c>
      <c r="C65" s="2" t="str">
        <f t="shared" si="7"/>
        <v>2026-07-15</v>
      </c>
      <c r="D65" s="5">
        <f t="shared" si="8"/>
        <v>46218</v>
      </c>
      <c r="E65" s="2" t="s">
        <v>71</v>
      </c>
      <c r="F65" s="2" t="str">
        <f t="shared" si="9"/>
        <v>Bekasi</v>
      </c>
      <c r="G65" s="2" t="s">
        <v>27</v>
      </c>
      <c r="H65" s="2" t="str">
        <f t="shared" si="10"/>
        <v>Vino Bastian G.</v>
      </c>
      <c r="I65" s="2" t="s">
        <v>221</v>
      </c>
      <c r="J65" s="2" t="str">
        <f t="shared" si="11"/>
        <v>Kevin Wijaya</v>
      </c>
      <c r="K65" s="2" t="s">
        <v>99</v>
      </c>
      <c r="L65" s="2" t="s">
        <v>100</v>
      </c>
      <c r="M65" s="2">
        <v>1</v>
      </c>
      <c r="N65" s="3">
        <v>29800000</v>
      </c>
      <c r="O65" s="3">
        <v>596000</v>
      </c>
      <c r="P65" s="3">
        <v>29204000</v>
      </c>
      <c r="Q65" s="3" t="str">
        <f t="shared" si="6"/>
        <v>Normal</v>
      </c>
      <c r="R65" s="2" t="s">
        <v>21</v>
      </c>
      <c r="S65" s="2" t="s">
        <v>22</v>
      </c>
      <c r="T65" s="2" t="s">
        <v>30</v>
      </c>
      <c r="U65">
        <f t="shared" si="0"/>
        <v>1</v>
      </c>
    </row>
    <row r="66" spans="1:21">
      <c r="A66" s="2" t="s">
        <v>446</v>
      </c>
      <c r="B66" s="2" t="s">
        <v>32</v>
      </c>
      <c r="C66" s="2" t="str">
        <f t="shared" si="7"/>
        <v>15/07/2026</v>
      </c>
      <c r="D66" s="5">
        <f t="shared" si="8"/>
        <v>46218</v>
      </c>
      <c r="E66" s="2" t="s">
        <v>85</v>
      </c>
      <c r="F66" s="2" t="str">
        <f t="shared" si="9"/>
        <v>Karawang</v>
      </c>
      <c r="G66" s="2" t="s">
        <v>113</v>
      </c>
      <c r="H66" s="2" t="str">
        <f t="shared" si="10"/>
        <v>Lukman Hakim</v>
      </c>
      <c r="I66" s="2" t="s">
        <v>437</v>
      </c>
      <c r="J66" s="2" t="str">
        <f t="shared" si="11"/>
        <v>Lala Ramadhan</v>
      </c>
      <c r="K66" s="2" t="s">
        <v>142</v>
      </c>
      <c r="L66" s="2" t="s">
        <v>143</v>
      </c>
      <c r="M66" s="2">
        <v>1</v>
      </c>
      <c r="N66" s="3">
        <v>18900000</v>
      </c>
      <c r="O66" s="3">
        <v>567000</v>
      </c>
      <c r="P66" s="3">
        <v>18333000</v>
      </c>
      <c r="Q66" s="3" t="str">
        <f t="shared" si="6"/>
        <v>Normal</v>
      </c>
      <c r="R66" s="2" t="s">
        <v>38</v>
      </c>
      <c r="S66" s="2" t="s">
        <v>22</v>
      </c>
      <c r="T66" s="2" t="s">
        <v>39</v>
      </c>
      <c r="U66">
        <f t="shared" ref="U66:U129" si="12">COUNTIF($A$2:$A$342,A66)</f>
        <v>1</v>
      </c>
    </row>
    <row r="67" spans="1:21">
      <c r="A67" s="2" t="s">
        <v>224</v>
      </c>
      <c r="B67" s="2" t="s">
        <v>189</v>
      </c>
      <c r="C67" s="2" t="str">
        <f t="shared" si="7"/>
        <v>14/07/2026</v>
      </c>
      <c r="D67" s="5">
        <f t="shared" si="8"/>
        <v>46217</v>
      </c>
      <c r="E67" s="2" t="s">
        <v>26</v>
      </c>
      <c r="F67" s="2" t="str">
        <f t="shared" si="9"/>
        <v>Sukabumi</v>
      </c>
      <c r="G67" s="2" t="s">
        <v>54</v>
      </c>
      <c r="H67" s="2" t="str">
        <f t="shared" si="10"/>
        <v>Hadi Santoso</v>
      </c>
      <c r="I67" s="2" t="s">
        <v>225</v>
      </c>
      <c r="J67" s="2" t="str">
        <f t="shared" si="11"/>
        <v>Dewi Hidayat</v>
      </c>
      <c r="K67" s="2" t="s">
        <v>60</v>
      </c>
      <c r="L67" s="2" t="s">
        <v>61</v>
      </c>
      <c r="M67" s="2">
        <v>1</v>
      </c>
      <c r="N67" s="3">
        <v>21500000</v>
      </c>
      <c r="O67" s="3">
        <v>430000</v>
      </c>
      <c r="P67" s="3">
        <v>21070000</v>
      </c>
      <c r="Q67" s="3" t="str">
        <f t="shared" ref="Q67:Q130" si="13">IF(P67=0,"Batal/Refund","Normal")</f>
        <v>Normal</v>
      </c>
      <c r="R67" s="2" t="s">
        <v>21</v>
      </c>
      <c r="S67" s="2" t="s">
        <v>22</v>
      </c>
      <c r="T67" s="2" t="s">
        <v>39</v>
      </c>
      <c r="U67">
        <f t="shared" si="12"/>
        <v>1</v>
      </c>
    </row>
    <row r="68" spans="1:21">
      <c r="A68" s="2" t="s">
        <v>226</v>
      </c>
      <c r="B68" s="2" t="s">
        <v>215</v>
      </c>
      <c r="C68" s="2" t="str">
        <f t="shared" si="7"/>
        <v>13/07/2026</v>
      </c>
      <c r="D68" s="5">
        <f t="shared" si="8"/>
        <v>46216</v>
      </c>
      <c r="E68" s="2" t="s">
        <v>26</v>
      </c>
      <c r="F68" s="2" t="str">
        <f t="shared" si="9"/>
        <v>Sukabumi</v>
      </c>
      <c r="G68" s="2" t="s">
        <v>113</v>
      </c>
      <c r="H68" s="2" t="str">
        <f t="shared" si="10"/>
        <v>Lukman Hakim</v>
      </c>
      <c r="I68" s="2" t="s">
        <v>227</v>
      </c>
      <c r="J68" s="2" t="str">
        <f t="shared" si="11"/>
        <v>Jihan Firmansyah</v>
      </c>
      <c r="K68" s="2" t="s">
        <v>68</v>
      </c>
      <c r="L68" s="2" t="s">
        <v>69</v>
      </c>
      <c r="M68" s="2">
        <v>1</v>
      </c>
      <c r="N68" s="3">
        <v>17800000</v>
      </c>
      <c r="O68" s="3">
        <v>178000</v>
      </c>
      <c r="P68" s="3">
        <v>17622000</v>
      </c>
      <c r="Q68" s="3" t="str">
        <f t="shared" si="13"/>
        <v>Normal</v>
      </c>
      <c r="R68" s="2" t="s">
        <v>46</v>
      </c>
      <c r="S68" s="2" t="s">
        <v>22</v>
      </c>
      <c r="T68" s="2" t="s">
        <v>39</v>
      </c>
      <c r="U68">
        <f t="shared" si="12"/>
        <v>1</v>
      </c>
    </row>
    <row r="69" spans="1:21">
      <c r="A69" s="2" t="s">
        <v>228</v>
      </c>
      <c r="B69" s="2" t="s">
        <v>15</v>
      </c>
      <c r="C69" s="2" t="str">
        <f t="shared" si="7"/>
        <v>2026-07-14</v>
      </c>
      <c r="D69" s="5">
        <f t="shared" si="8"/>
        <v>46217</v>
      </c>
      <c r="E69" s="2" t="s">
        <v>182</v>
      </c>
      <c r="F69" s="2" t="str">
        <f t="shared" si="9"/>
        <v>Bogor</v>
      </c>
      <c r="G69" s="2" t="s">
        <v>98</v>
      </c>
      <c r="H69" s="2" t="str">
        <f t="shared" si="10"/>
        <v>Rangga Saputra</v>
      </c>
      <c r="I69" s="2" t="s">
        <v>35</v>
      </c>
      <c r="J69" s="2" t="str">
        <f t="shared" si="11"/>
        <v>Putra Hidayat</v>
      </c>
      <c r="K69" s="2" t="s">
        <v>91</v>
      </c>
      <c r="L69" s="2" t="s">
        <v>92</v>
      </c>
      <c r="M69" s="2">
        <v>1</v>
      </c>
      <c r="N69" s="3">
        <v>26900000</v>
      </c>
      <c r="O69" s="3">
        <v>807000</v>
      </c>
      <c r="P69" s="3">
        <v>26093000</v>
      </c>
      <c r="Q69" s="3" t="str">
        <f t="shared" si="13"/>
        <v>Normal</v>
      </c>
      <c r="R69" s="2" t="s">
        <v>46</v>
      </c>
      <c r="S69" s="2" t="s">
        <v>22</v>
      </c>
      <c r="T69" s="2" t="s">
        <v>39</v>
      </c>
      <c r="U69">
        <f t="shared" si="12"/>
        <v>1</v>
      </c>
    </row>
    <row r="70" spans="1:21">
      <c r="A70" s="2" t="s">
        <v>229</v>
      </c>
      <c r="B70" s="2" t="s">
        <v>125</v>
      </c>
      <c r="C70" s="2" t="str">
        <f t="shared" si="7"/>
        <v>16/07/2026</v>
      </c>
      <c r="D70" s="5">
        <f t="shared" si="8"/>
        <v>46219</v>
      </c>
      <c r="E70" s="2" t="s">
        <v>26</v>
      </c>
      <c r="F70" s="2" t="str">
        <f t="shared" si="9"/>
        <v>Sukabumi</v>
      </c>
      <c r="G70" s="2" t="s">
        <v>27</v>
      </c>
      <c r="H70" s="2" t="str">
        <f t="shared" si="10"/>
        <v>Vino Bastian G.</v>
      </c>
      <c r="I70" s="2" t="s">
        <v>230</v>
      </c>
      <c r="J70" s="2" t="str">
        <f t="shared" si="11"/>
        <v>Lala Saputra</v>
      </c>
      <c r="K70" s="2" t="s">
        <v>142</v>
      </c>
      <c r="L70" s="2" t="s">
        <v>143</v>
      </c>
      <c r="M70" s="2">
        <v>1</v>
      </c>
      <c r="N70" s="3">
        <v>18900000</v>
      </c>
      <c r="O70" s="3">
        <v>189000</v>
      </c>
      <c r="P70" s="3">
        <v>18711000</v>
      </c>
      <c r="Q70" s="3" t="str">
        <f t="shared" si="13"/>
        <v>Normal</v>
      </c>
      <c r="R70" s="2" t="s">
        <v>29</v>
      </c>
      <c r="S70" s="2" t="s">
        <v>22</v>
      </c>
      <c r="T70" s="2" t="s">
        <v>23</v>
      </c>
      <c r="U70">
        <f t="shared" si="12"/>
        <v>1</v>
      </c>
    </row>
    <row r="71" spans="1:21">
      <c r="A71" s="2" t="s">
        <v>231</v>
      </c>
      <c r="B71" s="2" t="s">
        <v>57</v>
      </c>
      <c r="C71" s="2" t="str">
        <f t="shared" si="7"/>
        <v>2026-07-17</v>
      </c>
      <c r="D71" s="5">
        <f t="shared" si="8"/>
        <v>46220</v>
      </c>
      <c r="E71" s="2" t="s">
        <v>148</v>
      </c>
      <c r="F71" s="2" t="str">
        <f t="shared" si="9"/>
        <v>Cikarang</v>
      </c>
      <c r="G71" s="2" t="s">
        <v>80</v>
      </c>
      <c r="H71" s="2" t="str">
        <f t="shared" si="10"/>
        <v>Kiki Amelia</v>
      </c>
      <c r="I71" s="2" t="s">
        <v>232</v>
      </c>
      <c r="J71" s="2" t="str">
        <f t="shared" si="11"/>
        <v>Tono Saputra</v>
      </c>
      <c r="K71" s="2" t="s">
        <v>152</v>
      </c>
      <c r="L71" s="2" t="s">
        <v>153</v>
      </c>
      <c r="M71" s="2">
        <v>1</v>
      </c>
      <c r="N71" s="3">
        <v>27400000</v>
      </c>
      <c r="O71" s="3">
        <v>0</v>
      </c>
      <c r="P71" s="3">
        <v>27400000</v>
      </c>
      <c r="Q71" s="3" t="str">
        <f t="shared" si="13"/>
        <v>Normal</v>
      </c>
      <c r="R71" s="2" t="s">
        <v>38</v>
      </c>
      <c r="S71" s="2" t="s">
        <v>82</v>
      </c>
      <c r="T71" s="2" t="s">
        <v>30</v>
      </c>
      <c r="U71">
        <f t="shared" si="12"/>
        <v>1</v>
      </c>
    </row>
    <row r="72" spans="1:21">
      <c r="A72" s="2" t="s">
        <v>233</v>
      </c>
      <c r="B72" s="2" t="s">
        <v>102</v>
      </c>
      <c r="C72" s="2" t="str">
        <f t="shared" ref="C72:C135" si="14">SUBSTITUTE(SUBSTITUTE(SUBSTITUTE(SUBSTITUTE(SUBSTITUTE(SUBSTITUTE(SUBSTITUTE(SUBSTITUTE(SUBSTITUTE(SUBSTITUTE(SUBSTITUTE(SUBSTITUTE(B72," Januari ","/01/")," Februari ","/02/")," Maret ","/03/")," April ","/04/")," Mei ","/05/")," Juni ","/06/")," Juli ","/07/")," Agustus ","/08/")," September ","/09/")," Oktober ","/10/")," November ","/11/")," Desember ","/12/")</f>
        <v>18/07/2026</v>
      </c>
      <c r="D72" s="5">
        <f t="shared" ref="D72:D135" si="15">IFERROR(DATE(VALUE(LEFT(C72,4)),VALUE(MID(C72,6,2)),VALUE(RIGHT(C72,2))),DATE(VALUE(RIGHT(C72,4)),VALUE(MID(C72,4,2)),VALUE(LEFT(C72,2))))</f>
        <v>46221</v>
      </c>
      <c r="E72" s="2" t="s">
        <v>48</v>
      </c>
      <c r="F72" s="2" t="str">
        <f t="shared" ref="F72:F135" si="16">PROPER(TRIM(SUBSTITUTE(SUBSTITUTE(E72,"Jaksel","Jakarta Selatan"),"Tangerang Kota","Tangerang")))</f>
        <v>Jakarta Selatan</v>
      </c>
      <c r="G72" s="2" t="s">
        <v>113</v>
      </c>
      <c r="H72" s="2" t="str">
        <f t="shared" ref="H72:H135" si="17">IF(G72="","Unknown",G72)</f>
        <v>Lukman Hakim</v>
      </c>
      <c r="I72" s="2" t="s">
        <v>234</v>
      </c>
      <c r="J72" s="2" t="str">
        <f t="shared" ref="J72:J135" si="18">IF(I72="","Unknown",I72)</f>
        <v>Budi Firmansyah</v>
      </c>
      <c r="K72" s="2" t="s">
        <v>44</v>
      </c>
      <c r="L72" s="2" t="s">
        <v>45</v>
      </c>
      <c r="M72" s="2">
        <v>1</v>
      </c>
      <c r="N72" s="3">
        <v>24600000</v>
      </c>
      <c r="O72" s="3">
        <v>492000</v>
      </c>
      <c r="P72" s="3">
        <v>24108000</v>
      </c>
      <c r="Q72" s="3" t="str">
        <f t="shared" si="13"/>
        <v>Normal</v>
      </c>
      <c r="R72" s="2" t="s">
        <v>38</v>
      </c>
      <c r="S72" s="2" t="s">
        <v>22</v>
      </c>
      <c r="T72" s="2" t="s">
        <v>23</v>
      </c>
      <c r="U72">
        <f t="shared" si="12"/>
        <v>1</v>
      </c>
    </row>
    <row r="73" spans="1:21">
      <c r="A73" s="2" t="s">
        <v>235</v>
      </c>
      <c r="B73" s="2" t="s">
        <v>102</v>
      </c>
      <c r="C73" s="2" t="str">
        <f t="shared" si="14"/>
        <v>18/07/2026</v>
      </c>
      <c r="D73" s="5">
        <f t="shared" si="15"/>
        <v>46221</v>
      </c>
      <c r="E73" s="2" t="s">
        <v>26</v>
      </c>
      <c r="F73" s="2" t="str">
        <f t="shared" si="16"/>
        <v>Sukabumi</v>
      </c>
      <c r="G73" s="2" t="s">
        <v>130</v>
      </c>
      <c r="H73" s="2" t="str">
        <f t="shared" si="17"/>
        <v>Indah Permata</v>
      </c>
      <c r="I73" s="2" t="s">
        <v>236</v>
      </c>
      <c r="J73" s="2" t="str">
        <f t="shared" si="18"/>
        <v>Kevin Ramadhan</v>
      </c>
      <c r="K73" s="2" t="s">
        <v>152</v>
      </c>
      <c r="L73" s="2" t="s">
        <v>153</v>
      </c>
      <c r="M73" s="2">
        <v>1</v>
      </c>
      <c r="N73" s="3">
        <v>27400000</v>
      </c>
      <c r="O73" s="3">
        <v>822000</v>
      </c>
      <c r="P73" s="3">
        <v>26578000</v>
      </c>
      <c r="Q73" s="3" t="str">
        <f t="shared" si="13"/>
        <v>Normal</v>
      </c>
      <c r="R73" s="2" t="s">
        <v>62</v>
      </c>
      <c r="S73" s="2" t="s">
        <v>82</v>
      </c>
      <c r="T73" s="2" t="s">
        <v>39</v>
      </c>
      <c r="U73">
        <f t="shared" si="12"/>
        <v>1</v>
      </c>
    </row>
    <row r="74" spans="1:21">
      <c r="A74" s="2" t="s">
        <v>237</v>
      </c>
      <c r="B74" s="2" t="s">
        <v>57</v>
      </c>
      <c r="C74" s="2" t="str">
        <f t="shared" si="14"/>
        <v>2026-07-17</v>
      </c>
      <c r="D74" s="5">
        <f t="shared" si="15"/>
        <v>46220</v>
      </c>
      <c r="E74" s="2" t="s">
        <v>85</v>
      </c>
      <c r="F74" s="2" t="str">
        <f t="shared" si="16"/>
        <v>Karawang</v>
      </c>
      <c r="G74" s="2" t="s">
        <v>58</v>
      </c>
      <c r="H74" s="2" t="str">
        <f t="shared" si="17"/>
        <v>Umi Kalsum</v>
      </c>
      <c r="I74" s="2" t="s">
        <v>238</v>
      </c>
      <c r="J74" s="2" t="str">
        <f t="shared" si="18"/>
        <v>Lala Maharani</v>
      </c>
      <c r="K74" s="2" t="s">
        <v>60</v>
      </c>
      <c r="L74" s="2" t="s">
        <v>61</v>
      </c>
      <c r="M74" s="2">
        <v>1</v>
      </c>
      <c r="N74" s="3">
        <v>21500000</v>
      </c>
      <c r="O74" s="3">
        <v>1075000</v>
      </c>
      <c r="P74" s="3">
        <v>20425000</v>
      </c>
      <c r="Q74" s="3" t="str">
        <f t="shared" si="13"/>
        <v>Normal</v>
      </c>
      <c r="R74" s="2" t="s">
        <v>21</v>
      </c>
      <c r="S74" s="2" t="s">
        <v>22</v>
      </c>
      <c r="T74" s="2" t="s">
        <v>39</v>
      </c>
      <c r="U74">
        <f t="shared" si="12"/>
        <v>1</v>
      </c>
    </row>
    <row r="75" spans="1:21">
      <c r="A75" s="2" t="s">
        <v>239</v>
      </c>
      <c r="B75" s="2" t="s">
        <v>15</v>
      </c>
      <c r="C75" s="2" t="str">
        <f t="shared" si="14"/>
        <v>2026-07-14</v>
      </c>
      <c r="D75" s="5">
        <f t="shared" si="15"/>
        <v>46217</v>
      </c>
      <c r="E75" s="2" t="s">
        <v>26</v>
      </c>
      <c r="F75" s="2" t="str">
        <f t="shared" si="16"/>
        <v>Sukabumi</v>
      </c>
      <c r="G75" s="2" t="s">
        <v>58</v>
      </c>
      <c r="H75" s="2" t="str">
        <f t="shared" si="17"/>
        <v>Umi Kalsum</v>
      </c>
      <c r="I75" s="2" t="s">
        <v>240</v>
      </c>
      <c r="J75" s="2" t="str">
        <f t="shared" si="18"/>
        <v>Budi Kusuma</v>
      </c>
      <c r="K75" s="2" t="s">
        <v>19</v>
      </c>
      <c r="L75" s="2" t="s">
        <v>20</v>
      </c>
      <c r="M75" s="2">
        <v>1</v>
      </c>
      <c r="N75" s="3">
        <v>33500000</v>
      </c>
      <c r="O75" s="3">
        <v>335000</v>
      </c>
      <c r="P75" s="3">
        <v>33165000</v>
      </c>
      <c r="Q75" s="3" t="str">
        <f t="shared" si="13"/>
        <v>Normal</v>
      </c>
      <c r="R75" s="2" t="s">
        <v>62</v>
      </c>
      <c r="S75" s="2" t="s">
        <v>22</v>
      </c>
      <c r="T75" s="2" t="s">
        <v>23</v>
      </c>
      <c r="U75">
        <f t="shared" si="12"/>
        <v>1</v>
      </c>
    </row>
    <row r="76" spans="1:21">
      <c r="A76" s="2" t="s">
        <v>241</v>
      </c>
      <c r="B76" s="2" t="s">
        <v>167</v>
      </c>
      <c r="C76" s="2" t="str">
        <f t="shared" si="14"/>
        <v>19/07/2026</v>
      </c>
      <c r="D76" s="5">
        <f t="shared" si="15"/>
        <v>46222</v>
      </c>
      <c r="E76" s="2" t="s">
        <v>155</v>
      </c>
      <c r="F76" s="2" t="str">
        <f t="shared" si="16"/>
        <v>Tangerang</v>
      </c>
      <c r="G76" s="2" t="s">
        <v>242</v>
      </c>
      <c r="H76" s="2" t="str">
        <f t="shared" si="17"/>
        <v>Rudi Hartono</v>
      </c>
      <c r="I76" s="2" t="s">
        <v>243</v>
      </c>
      <c r="J76" s="2" t="str">
        <f t="shared" si="18"/>
        <v>Rendi Pratama</v>
      </c>
      <c r="K76" s="2" t="s">
        <v>99</v>
      </c>
      <c r="L76" s="2" t="s">
        <v>100</v>
      </c>
      <c r="M76" s="2">
        <v>1</v>
      </c>
      <c r="N76" s="3">
        <v>29800000</v>
      </c>
      <c r="O76" s="3">
        <v>596000</v>
      </c>
      <c r="P76" s="3">
        <v>29204000</v>
      </c>
      <c r="Q76" s="3" t="str">
        <f t="shared" si="13"/>
        <v>Normal</v>
      </c>
      <c r="R76" s="2" t="s">
        <v>46</v>
      </c>
      <c r="S76" s="2" t="s">
        <v>22</v>
      </c>
      <c r="T76" s="2" t="s">
        <v>39</v>
      </c>
      <c r="U76">
        <f t="shared" si="12"/>
        <v>1</v>
      </c>
    </row>
    <row r="77" spans="1:21">
      <c r="A77" s="2" t="s">
        <v>244</v>
      </c>
      <c r="B77" s="2" t="s">
        <v>102</v>
      </c>
      <c r="C77" s="2" t="str">
        <f t="shared" si="14"/>
        <v>18/07/2026</v>
      </c>
      <c r="D77" s="5">
        <f t="shared" si="15"/>
        <v>46221</v>
      </c>
      <c r="E77" s="2" t="s">
        <v>26</v>
      </c>
      <c r="F77" s="2" t="str">
        <f t="shared" si="16"/>
        <v>Sukabumi</v>
      </c>
      <c r="G77" s="2" t="s">
        <v>113</v>
      </c>
      <c r="H77" s="2" t="str">
        <f t="shared" si="17"/>
        <v>Lukman Hakim</v>
      </c>
      <c r="I77" s="2" t="s">
        <v>245</v>
      </c>
      <c r="J77" s="2" t="str">
        <f t="shared" si="18"/>
        <v>Fitri Firmansyah</v>
      </c>
      <c r="K77" s="2" t="s">
        <v>142</v>
      </c>
      <c r="L77" s="2" t="s">
        <v>143</v>
      </c>
      <c r="M77" s="2">
        <v>1</v>
      </c>
      <c r="N77" s="3">
        <v>18900000</v>
      </c>
      <c r="O77" s="3">
        <v>189000</v>
      </c>
      <c r="P77" s="3">
        <v>18711000</v>
      </c>
      <c r="Q77" s="3" t="str">
        <f t="shared" si="13"/>
        <v>Normal</v>
      </c>
      <c r="R77" s="2" t="s">
        <v>29</v>
      </c>
      <c r="S77" s="2" t="s">
        <v>22</v>
      </c>
      <c r="T77" s="2" t="s">
        <v>23</v>
      </c>
      <c r="U77">
        <f t="shared" si="12"/>
        <v>1</v>
      </c>
    </row>
    <row r="78" spans="1:21">
      <c r="A78" s="2" t="s">
        <v>246</v>
      </c>
      <c r="B78" s="2" t="s">
        <v>140</v>
      </c>
      <c r="C78" s="2" t="str">
        <f t="shared" si="14"/>
        <v>2026-07-19</v>
      </c>
      <c r="D78" s="5">
        <f t="shared" si="15"/>
        <v>46222</v>
      </c>
      <c r="E78" s="2" t="s">
        <v>65</v>
      </c>
      <c r="F78" s="2" t="str">
        <f t="shared" si="16"/>
        <v>Bandung</v>
      </c>
      <c r="G78" s="2" t="s">
        <v>49</v>
      </c>
      <c r="H78" s="2" t="str">
        <f t="shared" si="17"/>
        <v>Fajar Nugraha</v>
      </c>
      <c r="I78" s="2" t="s">
        <v>35</v>
      </c>
      <c r="J78" s="2" t="str">
        <f t="shared" si="18"/>
        <v>Putra Hidayat</v>
      </c>
      <c r="K78" s="2" t="s">
        <v>19</v>
      </c>
      <c r="L78" s="2" t="s">
        <v>20</v>
      </c>
      <c r="M78" s="2">
        <v>1</v>
      </c>
      <c r="N78" s="3">
        <v>33500000</v>
      </c>
      <c r="O78" s="3">
        <v>1005000</v>
      </c>
      <c r="P78" s="3">
        <v>32495000</v>
      </c>
      <c r="Q78" s="3" t="str">
        <f t="shared" si="13"/>
        <v>Normal</v>
      </c>
      <c r="R78" s="2" t="s">
        <v>38</v>
      </c>
      <c r="S78" s="2" t="s">
        <v>22</v>
      </c>
      <c r="T78" s="2" t="s">
        <v>39</v>
      </c>
      <c r="U78">
        <f t="shared" si="12"/>
        <v>1</v>
      </c>
    </row>
    <row r="79" spans="1:21">
      <c r="A79" s="2" t="s">
        <v>247</v>
      </c>
      <c r="B79" s="2" t="s">
        <v>122</v>
      </c>
      <c r="C79" s="2" t="str">
        <f t="shared" si="14"/>
        <v>17/07/2026</v>
      </c>
      <c r="D79" s="5">
        <f t="shared" si="15"/>
        <v>46220</v>
      </c>
      <c r="E79" s="2" t="s">
        <v>33</v>
      </c>
      <c r="F79" s="2" t="str">
        <f t="shared" si="16"/>
        <v>Depok</v>
      </c>
      <c r="G79" s="2" t="s">
        <v>94</v>
      </c>
      <c r="H79" s="2" t="str">
        <f t="shared" si="17"/>
        <v>Gita Ayu</v>
      </c>
      <c r="I79" s="2" t="s">
        <v>194</v>
      </c>
      <c r="J79" s="2" t="str">
        <f t="shared" si="18"/>
        <v>Eko Saputra</v>
      </c>
      <c r="K79" s="2" t="s">
        <v>60</v>
      </c>
      <c r="L79" s="2" t="s">
        <v>61</v>
      </c>
      <c r="M79" s="2">
        <v>1</v>
      </c>
      <c r="N79" s="3">
        <v>21500000</v>
      </c>
      <c r="O79" s="3">
        <v>1075000</v>
      </c>
      <c r="P79" s="3">
        <v>20425000</v>
      </c>
      <c r="Q79" s="3" t="str">
        <f t="shared" si="13"/>
        <v>Normal</v>
      </c>
      <c r="R79" s="2" t="s">
        <v>29</v>
      </c>
      <c r="S79" s="2" t="s">
        <v>87</v>
      </c>
      <c r="T79" s="2" t="s">
        <v>39</v>
      </c>
      <c r="U79">
        <f t="shared" si="12"/>
        <v>1</v>
      </c>
    </row>
    <row r="80" spans="1:21">
      <c r="A80" s="2" t="s">
        <v>248</v>
      </c>
      <c r="B80" s="2" t="s">
        <v>79</v>
      </c>
      <c r="C80" s="2" t="str">
        <f t="shared" si="14"/>
        <v>19/07/2026</v>
      </c>
      <c r="D80" s="5">
        <f t="shared" si="15"/>
        <v>46222</v>
      </c>
      <c r="E80" s="2" t="s">
        <v>71</v>
      </c>
      <c r="F80" s="2" t="str">
        <f t="shared" si="16"/>
        <v>Bekasi</v>
      </c>
      <c r="G80" s="2" t="s">
        <v>17</v>
      </c>
      <c r="H80" s="2" t="str">
        <f t="shared" si="17"/>
        <v>Taufik Hidayat</v>
      </c>
      <c r="I80" s="2" t="s">
        <v>249</v>
      </c>
      <c r="J80" s="2" t="str">
        <f t="shared" si="18"/>
        <v>Citra Lestari</v>
      </c>
      <c r="K80" s="2" t="s">
        <v>44</v>
      </c>
      <c r="L80" s="2" t="s">
        <v>45</v>
      </c>
      <c r="M80" s="2">
        <v>1</v>
      </c>
      <c r="N80" s="3">
        <v>24600000</v>
      </c>
      <c r="O80" s="3">
        <v>738000</v>
      </c>
      <c r="P80" s="3">
        <v>23862000</v>
      </c>
      <c r="Q80" s="3" t="str">
        <f t="shared" si="13"/>
        <v>Normal</v>
      </c>
      <c r="R80" s="2" t="s">
        <v>62</v>
      </c>
      <c r="S80" s="2" t="s">
        <v>22</v>
      </c>
      <c r="T80" s="2" t="s">
        <v>30</v>
      </c>
      <c r="U80">
        <f t="shared" si="12"/>
        <v>1</v>
      </c>
    </row>
    <row r="81" spans="1:21">
      <c r="A81" s="2" t="s">
        <v>250</v>
      </c>
      <c r="B81" s="2" t="s">
        <v>84</v>
      </c>
      <c r="C81" s="2" t="str">
        <f t="shared" si="14"/>
        <v>2026-07-15</v>
      </c>
      <c r="D81" s="5">
        <f t="shared" si="15"/>
        <v>46218</v>
      </c>
      <c r="E81" s="2" t="s">
        <v>48</v>
      </c>
      <c r="F81" s="2" t="str">
        <f t="shared" si="16"/>
        <v>Jakarta Selatan</v>
      </c>
      <c r="G81" s="2" t="s">
        <v>66</v>
      </c>
      <c r="H81" s="2" t="str">
        <f t="shared" si="17"/>
        <v>Puji Lestari</v>
      </c>
      <c r="I81" s="2" t="s">
        <v>251</v>
      </c>
      <c r="J81" s="2" t="str">
        <f t="shared" si="18"/>
        <v>Kevin Hidayat</v>
      </c>
      <c r="K81" s="2" t="s">
        <v>142</v>
      </c>
      <c r="L81" s="2" t="s">
        <v>143</v>
      </c>
      <c r="M81" s="2">
        <v>1</v>
      </c>
      <c r="N81" s="3">
        <v>18900000</v>
      </c>
      <c r="O81" s="3">
        <v>0</v>
      </c>
      <c r="P81" s="3">
        <v>18900000</v>
      </c>
      <c r="Q81" s="3" t="str">
        <f t="shared" si="13"/>
        <v>Normal</v>
      </c>
      <c r="R81" s="2" t="s">
        <v>46</v>
      </c>
      <c r="S81" s="2" t="s">
        <v>22</v>
      </c>
      <c r="T81" s="2" t="s">
        <v>30</v>
      </c>
      <c r="U81">
        <f t="shared" si="12"/>
        <v>1</v>
      </c>
    </row>
    <row r="82" spans="1:21">
      <c r="A82" s="2" t="s">
        <v>252</v>
      </c>
      <c r="B82" s="2" t="s">
        <v>215</v>
      </c>
      <c r="C82" s="2" t="str">
        <f t="shared" si="14"/>
        <v>13/07/2026</v>
      </c>
      <c r="D82" s="5">
        <f t="shared" si="15"/>
        <v>46216</v>
      </c>
      <c r="E82" s="2" t="s">
        <v>97</v>
      </c>
      <c r="F82" s="2" t="str">
        <f t="shared" si="16"/>
        <v>Serang</v>
      </c>
      <c r="G82" s="2" t="s">
        <v>49</v>
      </c>
      <c r="H82" s="2" t="str">
        <f t="shared" si="17"/>
        <v>Fajar Nugraha</v>
      </c>
      <c r="I82" s="2" t="s">
        <v>253</v>
      </c>
      <c r="J82" s="2" t="str">
        <f t="shared" si="18"/>
        <v>Irfan Anggraini</v>
      </c>
      <c r="K82" s="2" t="s">
        <v>44</v>
      </c>
      <c r="L82" s="2" t="s">
        <v>45</v>
      </c>
      <c r="M82" s="2">
        <v>1</v>
      </c>
      <c r="N82" s="3">
        <v>24600000</v>
      </c>
      <c r="O82" s="3">
        <v>0</v>
      </c>
      <c r="P82" s="3">
        <v>24600000</v>
      </c>
      <c r="Q82" s="3" t="str">
        <f t="shared" si="13"/>
        <v>Normal</v>
      </c>
      <c r="R82" s="2" t="s">
        <v>29</v>
      </c>
      <c r="S82" s="2" t="s">
        <v>82</v>
      </c>
      <c r="T82" s="2" t="s">
        <v>77</v>
      </c>
      <c r="U82">
        <f t="shared" si="12"/>
        <v>1</v>
      </c>
    </row>
    <row r="83" spans="1:21">
      <c r="A83" s="2" t="s">
        <v>254</v>
      </c>
      <c r="B83" s="2" t="s">
        <v>162</v>
      </c>
      <c r="C83" s="2" t="str">
        <f t="shared" si="14"/>
        <v>18/07/2026</v>
      </c>
      <c r="D83" s="5">
        <f t="shared" si="15"/>
        <v>46221</v>
      </c>
      <c r="E83" s="2" t="s">
        <v>65</v>
      </c>
      <c r="F83" s="2" t="str">
        <f t="shared" si="16"/>
        <v>Bandung</v>
      </c>
      <c r="G83" s="2" t="s">
        <v>72</v>
      </c>
      <c r="H83" s="2" t="str">
        <f t="shared" si="17"/>
        <v>Sari Dewi</v>
      </c>
      <c r="I83" s="2" t="s">
        <v>234</v>
      </c>
      <c r="J83" s="2" t="str">
        <f t="shared" si="18"/>
        <v>Budi Firmansyah</v>
      </c>
      <c r="K83" s="2" t="s">
        <v>19</v>
      </c>
      <c r="L83" s="2" t="s">
        <v>20</v>
      </c>
      <c r="M83" s="2">
        <v>1</v>
      </c>
      <c r="N83" s="3">
        <v>33500000</v>
      </c>
      <c r="O83" s="3">
        <v>1675000</v>
      </c>
      <c r="P83" s="3">
        <v>31825000</v>
      </c>
      <c r="Q83" s="3" t="str">
        <f t="shared" si="13"/>
        <v>Normal</v>
      </c>
      <c r="R83" s="2" t="s">
        <v>21</v>
      </c>
      <c r="S83" s="2" t="s">
        <v>22</v>
      </c>
      <c r="T83" s="2" t="s">
        <v>30</v>
      </c>
      <c r="U83">
        <f t="shared" si="12"/>
        <v>1</v>
      </c>
    </row>
    <row r="84" spans="1:21">
      <c r="A84" s="2" t="s">
        <v>255</v>
      </c>
      <c r="B84" s="2" t="s">
        <v>41</v>
      </c>
      <c r="C84" s="2" t="str">
        <f t="shared" si="14"/>
        <v>15/07/2026</v>
      </c>
      <c r="D84" s="5">
        <f t="shared" si="15"/>
        <v>46218</v>
      </c>
      <c r="E84" s="2" t="s">
        <v>65</v>
      </c>
      <c r="F84" s="2" t="str">
        <f t="shared" si="16"/>
        <v>Bandung</v>
      </c>
      <c r="G84" s="2" t="s">
        <v>126</v>
      </c>
      <c r="H84" s="2" t="str">
        <f t="shared" si="17"/>
        <v>Oki Setiawan</v>
      </c>
      <c r="I84" s="2" t="s">
        <v>187</v>
      </c>
      <c r="J84" s="2" t="str">
        <f t="shared" si="18"/>
        <v>Tono Anggraini</v>
      </c>
      <c r="K84" s="2" t="s">
        <v>51</v>
      </c>
      <c r="L84" s="2" t="s">
        <v>52</v>
      </c>
      <c r="M84" s="2">
        <v>1</v>
      </c>
      <c r="N84" s="3">
        <v>41000000</v>
      </c>
      <c r="O84" s="3">
        <v>0</v>
      </c>
      <c r="P84" s="3">
        <v>41000000</v>
      </c>
      <c r="Q84" s="3" t="str">
        <f t="shared" si="13"/>
        <v>Normal</v>
      </c>
      <c r="R84" s="2" t="s">
        <v>29</v>
      </c>
      <c r="S84" s="2" t="s">
        <v>22</v>
      </c>
      <c r="T84" s="2" t="s">
        <v>77</v>
      </c>
      <c r="U84">
        <f t="shared" si="12"/>
        <v>1</v>
      </c>
    </row>
    <row r="85" spans="1:21">
      <c r="A85" s="2" t="s">
        <v>256</v>
      </c>
      <c r="B85" s="2" t="s">
        <v>57</v>
      </c>
      <c r="C85" s="2" t="str">
        <f t="shared" si="14"/>
        <v>2026-07-17</v>
      </c>
      <c r="D85" s="5">
        <f t="shared" si="15"/>
        <v>46220</v>
      </c>
      <c r="E85" s="2" t="s">
        <v>155</v>
      </c>
      <c r="F85" s="2" t="str">
        <f t="shared" si="16"/>
        <v>Tangerang</v>
      </c>
      <c r="G85" s="2" t="s">
        <v>168</v>
      </c>
      <c r="H85" s="2" t="str">
        <f t="shared" si="17"/>
        <v>Mira Anjani</v>
      </c>
      <c r="I85" s="2" t="s">
        <v>95</v>
      </c>
      <c r="J85" s="2" t="str">
        <f t="shared" si="18"/>
        <v>Eko Ramadhan</v>
      </c>
      <c r="K85" s="2" t="s">
        <v>99</v>
      </c>
      <c r="L85" s="2" t="s">
        <v>100</v>
      </c>
      <c r="M85" s="2">
        <v>1</v>
      </c>
      <c r="N85" s="3">
        <v>29800000</v>
      </c>
      <c r="O85" s="3">
        <v>0</v>
      </c>
      <c r="P85" s="3">
        <v>29800000</v>
      </c>
      <c r="Q85" s="3" t="str">
        <f t="shared" si="13"/>
        <v>Normal</v>
      </c>
      <c r="R85" s="2" t="s">
        <v>46</v>
      </c>
      <c r="S85" s="2" t="s">
        <v>22</v>
      </c>
      <c r="T85" s="2" t="s">
        <v>77</v>
      </c>
      <c r="U85">
        <f t="shared" si="12"/>
        <v>1</v>
      </c>
    </row>
    <row r="86" spans="1:21">
      <c r="A86" s="2" t="s">
        <v>257</v>
      </c>
      <c r="B86" s="2" t="s">
        <v>15</v>
      </c>
      <c r="C86" s="2" t="str">
        <f t="shared" si="14"/>
        <v>2026-07-14</v>
      </c>
      <c r="D86" s="5">
        <f t="shared" si="15"/>
        <v>46217</v>
      </c>
      <c r="E86" s="2" t="s">
        <v>65</v>
      </c>
      <c r="F86" s="2" t="str">
        <f t="shared" si="16"/>
        <v>Bandung</v>
      </c>
      <c r="G86" s="2" t="s">
        <v>98</v>
      </c>
      <c r="H86" s="2" t="str">
        <f t="shared" si="17"/>
        <v>Rangga Saputra</v>
      </c>
      <c r="I86" s="2" t="s">
        <v>86</v>
      </c>
      <c r="J86" s="2" t="str">
        <f t="shared" si="18"/>
        <v>Citra Ramadhan</v>
      </c>
      <c r="K86" s="2" t="s">
        <v>99</v>
      </c>
      <c r="L86" s="2" t="s">
        <v>100</v>
      </c>
      <c r="M86" s="2">
        <v>2</v>
      </c>
      <c r="N86" s="3">
        <v>29800000</v>
      </c>
      <c r="O86" s="3">
        <v>596000</v>
      </c>
      <c r="P86" s="3">
        <v>59004000</v>
      </c>
      <c r="Q86" s="3" t="str">
        <f t="shared" si="13"/>
        <v>Normal</v>
      </c>
      <c r="R86" s="2" t="s">
        <v>46</v>
      </c>
      <c r="S86" s="2" t="s">
        <v>22</v>
      </c>
      <c r="T86" s="2" t="s">
        <v>30</v>
      </c>
      <c r="U86">
        <f t="shared" si="12"/>
        <v>1</v>
      </c>
    </row>
    <row r="87" spans="1:21">
      <c r="A87" s="2" t="s">
        <v>258</v>
      </c>
      <c r="B87" s="2" t="s">
        <v>105</v>
      </c>
      <c r="C87" s="2" t="str">
        <f t="shared" si="14"/>
        <v>13/07/2026</v>
      </c>
      <c r="D87" s="5">
        <f t="shared" si="15"/>
        <v>46216</v>
      </c>
      <c r="E87" s="2" t="s">
        <v>33</v>
      </c>
      <c r="F87" s="2" t="str">
        <f t="shared" si="16"/>
        <v>Depok</v>
      </c>
      <c r="G87" s="2"/>
      <c r="H87" s="2" t="str">
        <f t="shared" si="17"/>
        <v>Unknown</v>
      </c>
      <c r="I87" s="2" t="s">
        <v>259</v>
      </c>
      <c r="J87" s="2" t="str">
        <f t="shared" si="18"/>
        <v>Lala Lestari</v>
      </c>
      <c r="K87" s="2" t="s">
        <v>36</v>
      </c>
      <c r="L87" s="2" t="s">
        <v>37</v>
      </c>
      <c r="M87" s="2">
        <v>1</v>
      </c>
      <c r="N87" s="3">
        <v>22300000</v>
      </c>
      <c r="O87" s="3">
        <v>0</v>
      </c>
      <c r="P87" s="3">
        <v>22300000</v>
      </c>
      <c r="Q87" s="3" t="str">
        <f t="shared" si="13"/>
        <v>Normal</v>
      </c>
      <c r="R87" s="2" t="s">
        <v>38</v>
      </c>
      <c r="S87" s="2" t="s">
        <v>22</v>
      </c>
      <c r="T87" s="2" t="s">
        <v>77</v>
      </c>
      <c r="U87">
        <f t="shared" si="12"/>
        <v>1</v>
      </c>
    </row>
    <row r="88" spans="1:21">
      <c r="A88" s="2" t="s">
        <v>260</v>
      </c>
      <c r="B88" s="2" t="s">
        <v>108</v>
      </c>
      <c r="C88" s="2" t="str">
        <f t="shared" si="14"/>
        <v>2026-07-18</v>
      </c>
      <c r="D88" s="5">
        <f t="shared" si="15"/>
        <v>46221</v>
      </c>
      <c r="E88" s="2" t="s">
        <v>48</v>
      </c>
      <c r="F88" s="2" t="str">
        <f t="shared" si="16"/>
        <v>Jakarta Selatan</v>
      </c>
      <c r="G88" s="2" t="s">
        <v>72</v>
      </c>
      <c r="H88" s="2" t="str">
        <f t="shared" si="17"/>
        <v>Sari Dewi</v>
      </c>
      <c r="I88" s="2" t="s">
        <v>192</v>
      </c>
      <c r="J88" s="2" t="str">
        <f t="shared" si="18"/>
        <v>Siska Maharani</v>
      </c>
      <c r="K88" s="2" t="s">
        <v>19</v>
      </c>
      <c r="L88" s="2" t="s">
        <v>20</v>
      </c>
      <c r="M88" s="2">
        <v>1</v>
      </c>
      <c r="N88" s="3">
        <v>33500000</v>
      </c>
      <c r="O88" s="3">
        <v>335000</v>
      </c>
      <c r="P88" s="3">
        <v>0</v>
      </c>
      <c r="Q88" s="3" t="str">
        <f t="shared" si="13"/>
        <v>Batal/Refund</v>
      </c>
      <c r="R88" s="2" t="s">
        <v>29</v>
      </c>
      <c r="S88" s="2" t="s">
        <v>87</v>
      </c>
      <c r="T88" s="2" t="s">
        <v>77</v>
      </c>
      <c r="U88">
        <f t="shared" si="12"/>
        <v>1</v>
      </c>
    </row>
    <row r="89" spans="1:21">
      <c r="A89" s="2" t="s">
        <v>261</v>
      </c>
      <c r="B89" s="2" t="s">
        <v>64</v>
      </c>
      <c r="C89" s="2" t="str">
        <f t="shared" si="14"/>
        <v>2026-07-13</v>
      </c>
      <c r="D89" s="5">
        <f t="shared" si="15"/>
        <v>46216</v>
      </c>
      <c r="E89" s="2" t="s">
        <v>112</v>
      </c>
      <c r="F89" s="2" t="str">
        <f t="shared" si="16"/>
        <v>Jakarta Timur</v>
      </c>
      <c r="G89" s="2" t="s">
        <v>17</v>
      </c>
      <c r="H89" s="2" t="str">
        <f t="shared" si="17"/>
        <v>Taufik Hidayat</v>
      </c>
      <c r="I89" s="2" t="s">
        <v>59</v>
      </c>
      <c r="J89" s="2" t="str">
        <f t="shared" si="18"/>
        <v>Putra Kusuma</v>
      </c>
      <c r="K89" s="2" t="s">
        <v>91</v>
      </c>
      <c r="L89" s="2" t="s">
        <v>92</v>
      </c>
      <c r="M89" s="2">
        <v>1</v>
      </c>
      <c r="N89" s="3">
        <v>26900000</v>
      </c>
      <c r="O89" s="3">
        <v>269000</v>
      </c>
      <c r="P89" s="3">
        <v>26631000</v>
      </c>
      <c r="Q89" s="3" t="str">
        <f t="shared" si="13"/>
        <v>Normal</v>
      </c>
      <c r="R89" s="2" t="s">
        <v>29</v>
      </c>
      <c r="S89" s="2" t="s">
        <v>22</v>
      </c>
      <c r="T89" s="2" t="s">
        <v>77</v>
      </c>
      <c r="U89">
        <f t="shared" si="12"/>
        <v>1</v>
      </c>
    </row>
    <row r="90" spans="1:21">
      <c r="A90" s="2" t="s">
        <v>262</v>
      </c>
      <c r="B90" s="2" t="s">
        <v>108</v>
      </c>
      <c r="C90" s="2" t="str">
        <f t="shared" si="14"/>
        <v>2026-07-18</v>
      </c>
      <c r="D90" s="5">
        <f t="shared" si="15"/>
        <v>46221</v>
      </c>
      <c r="E90" s="2" t="s">
        <v>65</v>
      </c>
      <c r="F90" s="2" t="str">
        <f t="shared" si="16"/>
        <v>Bandung</v>
      </c>
      <c r="G90" s="2" t="s">
        <v>126</v>
      </c>
      <c r="H90" s="2" t="str">
        <f t="shared" si="17"/>
        <v>Oki Setiawan</v>
      </c>
      <c r="I90" s="2" t="s">
        <v>263</v>
      </c>
      <c r="J90" s="2" t="str">
        <f t="shared" si="18"/>
        <v>Putra Maharani</v>
      </c>
      <c r="K90" s="2" t="s">
        <v>51</v>
      </c>
      <c r="L90" s="2" t="s">
        <v>52</v>
      </c>
      <c r="M90" s="2">
        <v>1</v>
      </c>
      <c r="N90" s="3">
        <v>41000000</v>
      </c>
      <c r="O90" s="3">
        <v>1230000</v>
      </c>
      <c r="P90" s="3">
        <v>39770000</v>
      </c>
      <c r="Q90" s="3" t="str">
        <f t="shared" si="13"/>
        <v>Normal</v>
      </c>
      <c r="R90" s="2" t="s">
        <v>21</v>
      </c>
      <c r="S90" s="2" t="s">
        <v>22</v>
      </c>
      <c r="T90" s="2" t="s">
        <v>30</v>
      </c>
      <c r="U90">
        <f t="shared" si="12"/>
        <v>1</v>
      </c>
    </row>
    <row r="91" spans="1:21">
      <c r="A91" s="2" t="s">
        <v>264</v>
      </c>
      <c r="B91" s="2" t="s">
        <v>105</v>
      </c>
      <c r="C91" s="2" t="str">
        <f t="shared" si="14"/>
        <v>13/07/2026</v>
      </c>
      <c r="D91" s="5">
        <f t="shared" si="15"/>
        <v>46216</v>
      </c>
      <c r="E91" s="2" t="s">
        <v>155</v>
      </c>
      <c r="F91" s="2" t="str">
        <f t="shared" si="16"/>
        <v>Tangerang</v>
      </c>
      <c r="G91" s="2" t="s">
        <v>17</v>
      </c>
      <c r="H91" s="2" t="str">
        <f t="shared" si="17"/>
        <v>Taufik Hidayat</v>
      </c>
      <c r="I91" s="2" t="s">
        <v>265</v>
      </c>
      <c r="J91" s="2" t="str">
        <f t="shared" si="18"/>
        <v>Nia Saputra</v>
      </c>
      <c r="K91" s="2" t="s">
        <v>99</v>
      </c>
      <c r="L91" s="2" t="s">
        <v>100</v>
      </c>
      <c r="M91" s="2">
        <v>1</v>
      </c>
      <c r="N91" s="3">
        <v>29800000</v>
      </c>
      <c r="O91" s="3">
        <v>1490000</v>
      </c>
      <c r="P91" s="3">
        <v>28310000</v>
      </c>
      <c r="Q91" s="3" t="str">
        <f t="shared" si="13"/>
        <v>Normal</v>
      </c>
      <c r="R91" s="2" t="s">
        <v>29</v>
      </c>
      <c r="S91" s="2" t="s">
        <v>22</v>
      </c>
      <c r="T91" s="2" t="s">
        <v>30</v>
      </c>
      <c r="U91">
        <f t="shared" si="12"/>
        <v>1</v>
      </c>
    </row>
    <row r="92" spans="1:21">
      <c r="A92" s="2" t="s">
        <v>266</v>
      </c>
      <c r="B92" s="2" t="s">
        <v>135</v>
      </c>
      <c r="C92" s="2" t="str">
        <f t="shared" si="14"/>
        <v>16/07/2026</v>
      </c>
      <c r="D92" s="5">
        <f t="shared" si="15"/>
        <v>46219</v>
      </c>
      <c r="E92" s="2" t="s">
        <v>65</v>
      </c>
      <c r="F92" s="2" t="str">
        <f t="shared" si="16"/>
        <v>Bandung</v>
      </c>
      <c r="G92" s="2" t="s">
        <v>27</v>
      </c>
      <c r="H92" s="2" t="str">
        <f t="shared" si="17"/>
        <v>Vino Bastian G.</v>
      </c>
      <c r="I92" s="2" t="s">
        <v>267</v>
      </c>
      <c r="J92" s="2" t="str">
        <f t="shared" si="18"/>
        <v>Kevin Pratama</v>
      </c>
      <c r="K92" s="2" t="s">
        <v>99</v>
      </c>
      <c r="L92" s="2" t="s">
        <v>100</v>
      </c>
      <c r="M92" s="2">
        <v>1</v>
      </c>
      <c r="N92" s="3">
        <v>29800000</v>
      </c>
      <c r="O92" s="3">
        <v>894000</v>
      </c>
      <c r="P92" s="3">
        <v>28906000</v>
      </c>
      <c r="Q92" s="3" t="str">
        <f t="shared" si="13"/>
        <v>Normal</v>
      </c>
      <c r="R92" s="2" t="s">
        <v>46</v>
      </c>
      <c r="S92" s="2" t="s">
        <v>22</v>
      </c>
      <c r="T92" s="2" t="s">
        <v>23</v>
      </c>
      <c r="U92">
        <f t="shared" si="12"/>
        <v>1</v>
      </c>
    </row>
    <row r="93" spans="1:21">
      <c r="A93" s="2" t="s">
        <v>268</v>
      </c>
      <c r="B93" s="2" t="s">
        <v>41</v>
      </c>
      <c r="C93" s="2" t="str">
        <f t="shared" si="14"/>
        <v>15/07/2026</v>
      </c>
      <c r="D93" s="5">
        <f t="shared" si="15"/>
        <v>46218</v>
      </c>
      <c r="E93" s="2" t="s">
        <v>26</v>
      </c>
      <c r="F93" s="2" t="str">
        <f t="shared" si="16"/>
        <v>Sukabumi</v>
      </c>
      <c r="G93" s="2" t="s">
        <v>113</v>
      </c>
      <c r="H93" s="2" t="str">
        <f t="shared" si="17"/>
        <v>Lukman Hakim</v>
      </c>
      <c r="I93" s="2" t="s">
        <v>269</v>
      </c>
      <c r="J93" s="2" t="str">
        <f t="shared" si="18"/>
        <v>Nia Pratama</v>
      </c>
      <c r="K93" s="2" t="s">
        <v>142</v>
      </c>
      <c r="L93" s="2" t="s">
        <v>143</v>
      </c>
      <c r="M93" s="2">
        <v>1</v>
      </c>
      <c r="N93" s="3">
        <v>18900000</v>
      </c>
      <c r="O93" s="3">
        <v>0</v>
      </c>
      <c r="P93" s="3">
        <v>18900000</v>
      </c>
      <c r="Q93" s="3" t="str">
        <f t="shared" si="13"/>
        <v>Normal</v>
      </c>
      <c r="R93" s="2" t="s">
        <v>38</v>
      </c>
      <c r="S93" s="2" t="s">
        <v>22</v>
      </c>
      <c r="T93" s="2" t="s">
        <v>30</v>
      </c>
      <c r="U93">
        <f t="shared" si="12"/>
        <v>1</v>
      </c>
    </row>
    <row r="94" spans="1:21">
      <c r="A94" s="2" t="s">
        <v>270</v>
      </c>
      <c r="B94" s="2" t="s">
        <v>15</v>
      </c>
      <c r="C94" s="2" t="str">
        <f t="shared" si="14"/>
        <v>2026-07-14</v>
      </c>
      <c r="D94" s="5">
        <f t="shared" si="15"/>
        <v>46217</v>
      </c>
      <c r="E94" s="2" t="s">
        <v>148</v>
      </c>
      <c r="F94" s="2" t="str">
        <f t="shared" si="16"/>
        <v>Cikarang</v>
      </c>
      <c r="G94" s="2" t="s">
        <v>80</v>
      </c>
      <c r="H94" s="2" t="str">
        <f t="shared" si="17"/>
        <v>Kiki Amelia</v>
      </c>
      <c r="I94" s="2" t="s">
        <v>271</v>
      </c>
      <c r="J94" s="2" t="str">
        <f t="shared" si="18"/>
        <v>Irfan Ramadhan</v>
      </c>
      <c r="K94" s="2" t="s">
        <v>152</v>
      </c>
      <c r="L94" s="2" t="s">
        <v>153</v>
      </c>
      <c r="M94" s="2">
        <v>1</v>
      </c>
      <c r="N94" s="3">
        <v>27400000</v>
      </c>
      <c r="O94" s="3">
        <v>0</v>
      </c>
      <c r="P94" s="3">
        <v>27400000</v>
      </c>
      <c r="Q94" s="3" t="str">
        <f t="shared" si="13"/>
        <v>Normal</v>
      </c>
      <c r="R94" s="2" t="s">
        <v>21</v>
      </c>
      <c r="S94" s="2" t="s">
        <v>87</v>
      </c>
      <c r="T94" s="2" t="s">
        <v>30</v>
      </c>
      <c r="U94">
        <f t="shared" si="12"/>
        <v>1</v>
      </c>
    </row>
    <row r="95" spans="1:21">
      <c r="A95" s="2" t="s">
        <v>272</v>
      </c>
      <c r="B95" s="2" t="s">
        <v>140</v>
      </c>
      <c r="C95" s="2" t="str">
        <f t="shared" si="14"/>
        <v>2026-07-19</v>
      </c>
      <c r="D95" s="5">
        <f t="shared" si="15"/>
        <v>46222</v>
      </c>
      <c r="E95" s="2" t="s">
        <v>48</v>
      </c>
      <c r="F95" s="2" t="str">
        <f t="shared" si="16"/>
        <v>Jakarta Selatan</v>
      </c>
      <c r="G95" s="2" t="s">
        <v>242</v>
      </c>
      <c r="H95" s="2" t="str">
        <f t="shared" si="17"/>
        <v>Rudi Hartono</v>
      </c>
      <c r="I95" s="2" t="s">
        <v>273</v>
      </c>
      <c r="J95" s="2" t="str">
        <f t="shared" si="18"/>
        <v>Irfan Wijaya</v>
      </c>
      <c r="K95" s="2" t="s">
        <v>36</v>
      </c>
      <c r="L95" s="2" t="s">
        <v>37</v>
      </c>
      <c r="M95" s="2">
        <v>1</v>
      </c>
      <c r="N95" s="3">
        <v>22300000</v>
      </c>
      <c r="O95" s="3">
        <v>446000</v>
      </c>
      <c r="P95" s="3">
        <v>21854000</v>
      </c>
      <c r="Q95" s="3" t="str">
        <f t="shared" si="13"/>
        <v>Normal</v>
      </c>
      <c r="R95" s="2" t="s">
        <v>46</v>
      </c>
      <c r="S95" s="2" t="s">
        <v>22</v>
      </c>
      <c r="T95" s="2" t="s">
        <v>39</v>
      </c>
      <c r="U95">
        <f t="shared" si="12"/>
        <v>1</v>
      </c>
    </row>
    <row r="96" spans="1:21">
      <c r="A96" s="2" t="s">
        <v>274</v>
      </c>
      <c r="B96" s="2" t="s">
        <v>125</v>
      </c>
      <c r="C96" s="2" t="str">
        <f t="shared" si="14"/>
        <v>16/07/2026</v>
      </c>
      <c r="D96" s="5">
        <f t="shared" si="15"/>
        <v>46219</v>
      </c>
      <c r="E96" s="2" t="s">
        <v>65</v>
      </c>
      <c r="F96" s="2" t="str">
        <f t="shared" si="16"/>
        <v>Bandung</v>
      </c>
      <c r="G96" s="2" t="s">
        <v>94</v>
      </c>
      <c r="H96" s="2" t="str">
        <f t="shared" si="17"/>
        <v>Gita Ayu</v>
      </c>
      <c r="I96" s="2" t="s">
        <v>275</v>
      </c>
      <c r="J96" s="2" t="str">
        <f t="shared" si="18"/>
        <v>Nia Firmansyah</v>
      </c>
      <c r="K96" s="2" t="s">
        <v>99</v>
      </c>
      <c r="L96" s="2" t="s">
        <v>100</v>
      </c>
      <c r="M96" s="2">
        <v>1</v>
      </c>
      <c r="N96" s="3">
        <v>29800000</v>
      </c>
      <c r="O96" s="3">
        <v>894000</v>
      </c>
      <c r="P96" s="3">
        <v>28906000</v>
      </c>
      <c r="Q96" s="3" t="str">
        <f t="shared" si="13"/>
        <v>Normal</v>
      </c>
      <c r="R96" s="2" t="s">
        <v>29</v>
      </c>
      <c r="S96" s="2" t="s">
        <v>87</v>
      </c>
      <c r="T96" s="2" t="s">
        <v>39</v>
      </c>
      <c r="U96">
        <f t="shared" si="12"/>
        <v>1</v>
      </c>
    </row>
    <row r="97" spans="1:21">
      <c r="A97" s="2" t="s">
        <v>276</v>
      </c>
      <c r="B97" s="2" t="s">
        <v>135</v>
      </c>
      <c r="C97" s="2" t="str">
        <f t="shared" si="14"/>
        <v>16/07/2026</v>
      </c>
      <c r="D97" s="5">
        <f t="shared" si="15"/>
        <v>46219</v>
      </c>
      <c r="E97" s="2" t="s">
        <v>26</v>
      </c>
      <c r="F97" s="2" t="str">
        <f t="shared" si="16"/>
        <v>Sukabumi</v>
      </c>
      <c r="G97" s="2" t="s">
        <v>113</v>
      </c>
      <c r="H97" s="2" t="str">
        <f t="shared" si="17"/>
        <v>Lukman Hakim</v>
      </c>
      <c r="I97" s="2" t="s">
        <v>197</v>
      </c>
      <c r="J97" s="2" t="str">
        <f t="shared" si="18"/>
        <v>Jihan Lestari</v>
      </c>
      <c r="K97" s="2" t="s">
        <v>142</v>
      </c>
      <c r="L97" s="2" t="s">
        <v>143</v>
      </c>
      <c r="M97" s="2">
        <v>1</v>
      </c>
      <c r="N97" s="3">
        <v>18900000</v>
      </c>
      <c r="O97" s="3">
        <v>567000</v>
      </c>
      <c r="P97" s="3">
        <v>18333000</v>
      </c>
      <c r="Q97" s="3" t="str">
        <f t="shared" si="13"/>
        <v>Normal</v>
      </c>
      <c r="R97" s="2" t="s">
        <v>38</v>
      </c>
      <c r="S97" s="2" t="s">
        <v>87</v>
      </c>
      <c r="T97" s="2" t="s">
        <v>30</v>
      </c>
      <c r="U97">
        <f t="shared" si="12"/>
        <v>1</v>
      </c>
    </row>
    <row r="98" spans="1:21">
      <c r="A98" s="2" t="s">
        <v>277</v>
      </c>
      <c r="B98" s="2" t="s">
        <v>111</v>
      </c>
      <c r="C98" s="2" t="str">
        <f t="shared" si="14"/>
        <v>14/07/2026</v>
      </c>
      <c r="D98" s="5">
        <f t="shared" si="15"/>
        <v>46217</v>
      </c>
      <c r="E98" s="2" t="s">
        <v>112</v>
      </c>
      <c r="F98" s="2" t="str">
        <f t="shared" si="16"/>
        <v>Jakarta Timur</v>
      </c>
      <c r="G98" s="2" t="s">
        <v>242</v>
      </c>
      <c r="H98" s="2" t="str">
        <f t="shared" si="17"/>
        <v>Rudi Hartono</v>
      </c>
      <c r="I98" s="2" t="s">
        <v>278</v>
      </c>
      <c r="J98" s="2" t="str">
        <f t="shared" si="18"/>
        <v>Oscar Lestari</v>
      </c>
      <c r="K98" s="2" t="s">
        <v>99</v>
      </c>
      <c r="L98" s="2" t="s">
        <v>100</v>
      </c>
      <c r="M98" s="2">
        <v>1</v>
      </c>
      <c r="N98" s="3">
        <v>29800000</v>
      </c>
      <c r="O98" s="3">
        <v>596000</v>
      </c>
      <c r="P98" s="3">
        <v>29204000</v>
      </c>
      <c r="Q98" s="3" t="str">
        <f t="shared" si="13"/>
        <v>Normal</v>
      </c>
      <c r="R98" s="2" t="s">
        <v>29</v>
      </c>
      <c r="S98" s="2" t="s">
        <v>22</v>
      </c>
      <c r="T98" s="2" t="s">
        <v>39</v>
      </c>
      <c r="U98">
        <f t="shared" si="12"/>
        <v>1</v>
      </c>
    </row>
    <row r="99" spans="1:21">
      <c r="A99" s="2" t="s">
        <v>279</v>
      </c>
      <c r="B99" s="2" t="s">
        <v>125</v>
      </c>
      <c r="C99" s="2" t="str">
        <f t="shared" si="14"/>
        <v>16/07/2026</v>
      </c>
      <c r="D99" s="5">
        <f t="shared" si="15"/>
        <v>46219</v>
      </c>
      <c r="E99" s="2" t="s">
        <v>48</v>
      </c>
      <c r="F99" s="2" t="str">
        <f t="shared" si="16"/>
        <v>Jakarta Selatan</v>
      </c>
      <c r="G99" s="2" t="s">
        <v>113</v>
      </c>
      <c r="H99" s="2" t="str">
        <f t="shared" si="17"/>
        <v>Lukman Hakim</v>
      </c>
      <c r="I99" s="2" t="s">
        <v>280</v>
      </c>
      <c r="J99" s="2" t="str">
        <f t="shared" si="18"/>
        <v>Made Hidayat</v>
      </c>
      <c r="K99" s="2" t="s">
        <v>99</v>
      </c>
      <c r="L99" s="2" t="s">
        <v>100</v>
      </c>
      <c r="M99" s="2">
        <v>1</v>
      </c>
      <c r="N99" s="3">
        <v>29800000</v>
      </c>
      <c r="O99" s="3">
        <v>1490000</v>
      </c>
      <c r="P99" s="3">
        <v>28310000</v>
      </c>
      <c r="Q99" s="3" t="str">
        <f t="shared" si="13"/>
        <v>Normal</v>
      </c>
      <c r="R99" s="2" t="s">
        <v>46</v>
      </c>
      <c r="S99" s="2" t="s">
        <v>22</v>
      </c>
      <c r="T99" s="2" t="s">
        <v>39</v>
      </c>
      <c r="U99">
        <f t="shared" si="12"/>
        <v>1</v>
      </c>
    </row>
    <row r="100" spans="1:21">
      <c r="A100" s="2" t="s">
        <v>281</v>
      </c>
      <c r="B100" s="2" t="s">
        <v>84</v>
      </c>
      <c r="C100" s="2" t="str">
        <f t="shared" si="14"/>
        <v>2026-07-15</v>
      </c>
      <c r="D100" s="5">
        <f t="shared" si="15"/>
        <v>46218</v>
      </c>
      <c r="E100" s="2" t="s">
        <v>148</v>
      </c>
      <c r="F100" s="2" t="str">
        <f t="shared" si="16"/>
        <v>Cikarang</v>
      </c>
      <c r="G100" s="2" t="s">
        <v>72</v>
      </c>
      <c r="H100" s="2" t="str">
        <f t="shared" si="17"/>
        <v>Sari Dewi</v>
      </c>
      <c r="I100" s="2" t="s">
        <v>86</v>
      </c>
      <c r="J100" s="2" t="str">
        <f t="shared" si="18"/>
        <v>Citra Ramadhan</v>
      </c>
      <c r="K100" s="2" t="s">
        <v>99</v>
      </c>
      <c r="L100" s="2" t="s">
        <v>100</v>
      </c>
      <c r="M100" s="2">
        <v>1</v>
      </c>
      <c r="N100" s="3">
        <v>29800000</v>
      </c>
      <c r="O100" s="3">
        <v>1490000</v>
      </c>
      <c r="P100" s="3">
        <v>28310000</v>
      </c>
      <c r="Q100" s="3" t="str">
        <f t="shared" si="13"/>
        <v>Normal</v>
      </c>
      <c r="R100" s="2" t="s">
        <v>29</v>
      </c>
      <c r="S100" s="2" t="s">
        <v>22</v>
      </c>
      <c r="T100" s="2" t="s">
        <v>39</v>
      </c>
      <c r="U100">
        <f t="shared" si="12"/>
        <v>1</v>
      </c>
    </row>
    <row r="101" spans="1:21">
      <c r="A101" s="2" t="s">
        <v>282</v>
      </c>
      <c r="B101" s="2" t="s">
        <v>15</v>
      </c>
      <c r="C101" s="2" t="str">
        <f t="shared" si="14"/>
        <v>2026-07-14</v>
      </c>
      <c r="D101" s="5">
        <f t="shared" si="15"/>
        <v>46217</v>
      </c>
      <c r="E101" s="2" t="s">
        <v>71</v>
      </c>
      <c r="F101" s="2" t="str">
        <f t="shared" si="16"/>
        <v>Bekasi</v>
      </c>
      <c r="G101" s="2" t="s">
        <v>34</v>
      </c>
      <c r="H101" s="2" t="str">
        <f t="shared" si="17"/>
        <v>Joko Widodo S.</v>
      </c>
      <c r="I101" s="2" t="s">
        <v>283</v>
      </c>
      <c r="J101" s="2" t="str">
        <f t="shared" si="18"/>
        <v>Fitri Maharani</v>
      </c>
      <c r="K101" s="2" t="s">
        <v>152</v>
      </c>
      <c r="L101" s="2" t="s">
        <v>153</v>
      </c>
      <c r="M101" s="2">
        <v>1</v>
      </c>
      <c r="N101" s="3">
        <v>27400000</v>
      </c>
      <c r="O101" s="3">
        <v>0</v>
      </c>
      <c r="P101" s="3">
        <v>27400000</v>
      </c>
      <c r="Q101" s="3" t="str">
        <f t="shared" si="13"/>
        <v>Normal</v>
      </c>
      <c r="R101" s="2" t="s">
        <v>46</v>
      </c>
      <c r="S101" s="2" t="s">
        <v>22</v>
      </c>
      <c r="T101" s="2" t="s">
        <v>39</v>
      </c>
      <c r="U101">
        <f t="shared" si="12"/>
        <v>1</v>
      </c>
    </row>
    <row r="102" spans="1:21">
      <c r="A102" s="2" t="s">
        <v>284</v>
      </c>
      <c r="B102" s="2" t="s">
        <v>84</v>
      </c>
      <c r="C102" s="2" t="str">
        <f t="shared" si="14"/>
        <v>2026-07-15</v>
      </c>
      <c r="D102" s="5">
        <f t="shared" si="15"/>
        <v>46218</v>
      </c>
      <c r="E102" s="2" t="s">
        <v>285</v>
      </c>
      <c r="F102" s="2" t="str">
        <f t="shared" si="16"/>
        <v>Jakarta Selatan</v>
      </c>
      <c r="G102" s="2" t="s">
        <v>27</v>
      </c>
      <c r="H102" s="2" t="str">
        <f t="shared" si="17"/>
        <v>Vino Bastian G.</v>
      </c>
      <c r="I102" s="2" t="s">
        <v>286</v>
      </c>
      <c r="J102" s="2" t="str">
        <f t="shared" si="18"/>
        <v>Tono Hidayat</v>
      </c>
      <c r="K102" s="2" t="s">
        <v>142</v>
      </c>
      <c r="L102" s="2" t="s">
        <v>143</v>
      </c>
      <c r="M102" s="2">
        <v>1</v>
      </c>
      <c r="N102" s="3">
        <v>18900000</v>
      </c>
      <c r="O102" s="3">
        <v>567000</v>
      </c>
      <c r="P102" s="3">
        <v>18333000</v>
      </c>
      <c r="Q102" s="3" t="str">
        <f t="shared" si="13"/>
        <v>Normal</v>
      </c>
      <c r="R102" s="2" t="s">
        <v>46</v>
      </c>
      <c r="S102" s="2" t="s">
        <v>22</v>
      </c>
      <c r="T102" s="2" t="s">
        <v>23</v>
      </c>
      <c r="U102">
        <f t="shared" si="12"/>
        <v>1</v>
      </c>
    </row>
    <row r="103" spans="1:21">
      <c r="A103" s="2" t="s">
        <v>287</v>
      </c>
      <c r="B103" s="2" t="s">
        <v>167</v>
      </c>
      <c r="C103" s="2" t="str">
        <f t="shared" si="14"/>
        <v>19/07/2026</v>
      </c>
      <c r="D103" s="5">
        <f t="shared" si="15"/>
        <v>46222</v>
      </c>
      <c r="E103" s="2" t="s">
        <v>85</v>
      </c>
      <c r="F103" s="2" t="str">
        <f t="shared" si="16"/>
        <v>Karawang</v>
      </c>
      <c r="G103" s="2"/>
      <c r="H103" s="2" t="str">
        <f t="shared" si="17"/>
        <v>Unknown</v>
      </c>
      <c r="I103" s="2" t="s">
        <v>18</v>
      </c>
      <c r="J103" s="2" t="str">
        <f t="shared" si="18"/>
        <v>Galih Ramadhan</v>
      </c>
      <c r="K103" s="2" t="s">
        <v>36</v>
      </c>
      <c r="L103" s="2" t="s">
        <v>37</v>
      </c>
      <c r="M103" s="2">
        <v>1</v>
      </c>
      <c r="N103" s="3">
        <v>22300000</v>
      </c>
      <c r="O103" s="3">
        <v>446000</v>
      </c>
      <c r="P103" s="3">
        <v>21854000</v>
      </c>
      <c r="Q103" s="3" t="str">
        <f t="shared" si="13"/>
        <v>Normal</v>
      </c>
      <c r="R103" s="2" t="s">
        <v>62</v>
      </c>
      <c r="S103" s="2" t="s">
        <v>22</v>
      </c>
      <c r="T103" s="2" t="s">
        <v>30</v>
      </c>
      <c r="U103">
        <f t="shared" si="12"/>
        <v>1</v>
      </c>
    </row>
    <row r="104" spans="1:21">
      <c r="A104" s="2" t="s">
        <v>288</v>
      </c>
      <c r="B104" s="2" t="s">
        <v>162</v>
      </c>
      <c r="C104" s="2" t="str">
        <f t="shared" si="14"/>
        <v>18/07/2026</v>
      </c>
      <c r="D104" s="5">
        <f t="shared" si="15"/>
        <v>46221</v>
      </c>
      <c r="E104" s="2" t="s">
        <v>26</v>
      </c>
      <c r="F104" s="2" t="str">
        <f t="shared" si="16"/>
        <v>Sukabumi</v>
      </c>
      <c r="G104" s="2" t="s">
        <v>72</v>
      </c>
      <c r="H104" s="2" t="str">
        <f t="shared" si="17"/>
        <v>Sari Dewi</v>
      </c>
      <c r="I104" s="2" t="s">
        <v>289</v>
      </c>
      <c r="J104" s="2" t="str">
        <f t="shared" si="18"/>
        <v>Budi Lestari</v>
      </c>
      <c r="K104" s="2" t="s">
        <v>19</v>
      </c>
      <c r="L104" s="2" t="s">
        <v>20</v>
      </c>
      <c r="M104" s="2">
        <v>1</v>
      </c>
      <c r="N104" s="3">
        <v>33500000</v>
      </c>
      <c r="O104" s="3">
        <v>335000</v>
      </c>
      <c r="P104" s="3">
        <v>33165000</v>
      </c>
      <c r="Q104" s="3" t="str">
        <f t="shared" si="13"/>
        <v>Normal</v>
      </c>
      <c r="R104" s="2" t="s">
        <v>38</v>
      </c>
      <c r="S104" s="2" t="s">
        <v>22</v>
      </c>
      <c r="T104" s="2" t="s">
        <v>77</v>
      </c>
      <c r="U104">
        <f t="shared" si="12"/>
        <v>1</v>
      </c>
    </row>
    <row r="105" spans="1:21">
      <c r="A105" s="2" t="s">
        <v>290</v>
      </c>
      <c r="B105" s="2" t="s">
        <v>108</v>
      </c>
      <c r="C105" s="2" t="str">
        <f t="shared" si="14"/>
        <v>2026-07-18</v>
      </c>
      <c r="D105" s="5">
        <f t="shared" si="15"/>
        <v>46221</v>
      </c>
      <c r="E105" s="2" t="s">
        <v>65</v>
      </c>
      <c r="F105" s="2" t="str">
        <f t="shared" si="16"/>
        <v>Bandung</v>
      </c>
      <c r="G105" s="2" t="s">
        <v>113</v>
      </c>
      <c r="H105" s="2" t="str">
        <f t="shared" si="17"/>
        <v>Lukman Hakim</v>
      </c>
      <c r="I105" s="2" t="s">
        <v>291</v>
      </c>
      <c r="J105" s="2" t="str">
        <f t="shared" si="18"/>
        <v>Budi Anggraini</v>
      </c>
      <c r="K105" s="2" t="s">
        <v>60</v>
      </c>
      <c r="L105" s="2" t="s">
        <v>61</v>
      </c>
      <c r="M105" s="2">
        <v>1</v>
      </c>
      <c r="N105" s="3">
        <v>21500000</v>
      </c>
      <c r="O105" s="3">
        <v>430000</v>
      </c>
      <c r="P105" s="3">
        <v>21070000</v>
      </c>
      <c r="Q105" s="3" t="str">
        <f t="shared" si="13"/>
        <v>Normal</v>
      </c>
      <c r="R105" s="2" t="s">
        <v>62</v>
      </c>
      <c r="S105" s="2" t="s">
        <v>82</v>
      </c>
      <c r="T105" s="2" t="s">
        <v>39</v>
      </c>
      <c r="U105">
        <f t="shared" si="12"/>
        <v>1</v>
      </c>
    </row>
    <row r="106" spans="1:21">
      <c r="A106" s="2" t="s">
        <v>292</v>
      </c>
      <c r="B106" s="2" t="s">
        <v>25</v>
      </c>
      <c r="C106" s="2" t="str">
        <f t="shared" si="14"/>
        <v>2026-07-16</v>
      </c>
      <c r="D106" s="5">
        <f t="shared" si="15"/>
        <v>46219</v>
      </c>
      <c r="E106" s="2" t="s">
        <v>148</v>
      </c>
      <c r="F106" s="2" t="str">
        <f t="shared" si="16"/>
        <v>Cikarang</v>
      </c>
      <c r="G106" s="2" t="s">
        <v>130</v>
      </c>
      <c r="H106" s="2" t="str">
        <f t="shared" si="17"/>
        <v>Indah Permata</v>
      </c>
      <c r="I106" s="2" t="s">
        <v>293</v>
      </c>
      <c r="J106" s="2" t="str">
        <f t="shared" si="18"/>
        <v>Jihan Ramadhan</v>
      </c>
      <c r="K106" s="2" t="s">
        <v>91</v>
      </c>
      <c r="L106" s="2" t="s">
        <v>92</v>
      </c>
      <c r="M106" s="2">
        <v>1</v>
      </c>
      <c r="N106" s="3">
        <v>26900000</v>
      </c>
      <c r="O106" s="3">
        <v>1345000</v>
      </c>
      <c r="P106" s="3">
        <v>25555000</v>
      </c>
      <c r="Q106" s="3" t="str">
        <f t="shared" si="13"/>
        <v>Normal</v>
      </c>
      <c r="R106" s="2" t="s">
        <v>62</v>
      </c>
      <c r="S106" s="2" t="s">
        <v>22</v>
      </c>
      <c r="T106" s="2" t="s">
        <v>39</v>
      </c>
      <c r="U106">
        <f t="shared" si="12"/>
        <v>1</v>
      </c>
    </row>
    <row r="107" spans="1:21">
      <c r="A107" s="2" t="s">
        <v>294</v>
      </c>
      <c r="B107" s="2" t="s">
        <v>111</v>
      </c>
      <c r="C107" s="2" t="str">
        <f t="shared" si="14"/>
        <v>14/07/2026</v>
      </c>
      <c r="D107" s="5">
        <f t="shared" si="15"/>
        <v>46217</v>
      </c>
      <c r="E107" s="2" t="s">
        <v>71</v>
      </c>
      <c r="F107" s="2" t="str">
        <f t="shared" si="16"/>
        <v>Bekasi</v>
      </c>
      <c r="G107" s="2" t="s">
        <v>113</v>
      </c>
      <c r="H107" s="2" t="str">
        <f t="shared" si="17"/>
        <v>Lukman Hakim</v>
      </c>
      <c r="I107" s="2" t="s">
        <v>251</v>
      </c>
      <c r="J107" s="2" t="str">
        <f t="shared" si="18"/>
        <v>Kevin Hidayat</v>
      </c>
      <c r="K107" s="2" t="s">
        <v>19</v>
      </c>
      <c r="L107" s="2" t="s">
        <v>20</v>
      </c>
      <c r="M107" s="2">
        <v>1</v>
      </c>
      <c r="N107" s="3">
        <v>33500000</v>
      </c>
      <c r="O107" s="3">
        <v>0</v>
      </c>
      <c r="P107" s="3">
        <v>33500000</v>
      </c>
      <c r="Q107" s="3" t="str">
        <f t="shared" si="13"/>
        <v>Normal</v>
      </c>
      <c r="R107" s="2" t="s">
        <v>38</v>
      </c>
      <c r="S107" s="2" t="s">
        <v>22</v>
      </c>
      <c r="T107" s="2" t="s">
        <v>23</v>
      </c>
      <c r="U107">
        <f t="shared" si="12"/>
        <v>1</v>
      </c>
    </row>
    <row r="108" spans="1:21">
      <c r="A108" s="2" t="s">
        <v>295</v>
      </c>
      <c r="B108" s="2" t="s">
        <v>84</v>
      </c>
      <c r="C108" s="2" t="str">
        <f t="shared" si="14"/>
        <v>2026-07-15</v>
      </c>
      <c r="D108" s="5">
        <f t="shared" si="15"/>
        <v>46218</v>
      </c>
      <c r="E108" s="2" t="s">
        <v>65</v>
      </c>
      <c r="F108" s="2" t="str">
        <f t="shared" si="16"/>
        <v>Bandung</v>
      </c>
      <c r="G108" s="2"/>
      <c r="H108" s="2" t="str">
        <f t="shared" si="17"/>
        <v>Unknown</v>
      </c>
      <c r="I108" s="2" t="s">
        <v>296</v>
      </c>
      <c r="J108" s="2" t="str">
        <f t="shared" si="18"/>
        <v>Lala Pratama</v>
      </c>
      <c r="K108" s="2" t="s">
        <v>60</v>
      </c>
      <c r="L108" s="2" t="s">
        <v>61</v>
      </c>
      <c r="M108" s="2">
        <v>1</v>
      </c>
      <c r="N108" s="3">
        <v>21500000</v>
      </c>
      <c r="O108" s="3">
        <v>1075000</v>
      </c>
      <c r="P108" s="3">
        <v>20425000</v>
      </c>
      <c r="Q108" s="3" t="str">
        <f t="shared" si="13"/>
        <v>Normal</v>
      </c>
      <c r="R108" s="2" t="s">
        <v>29</v>
      </c>
      <c r="S108" s="2" t="s">
        <v>22</v>
      </c>
      <c r="T108" s="2" t="s">
        <v>39</v>
      </c>
      <c r="U108">
        <f t="shared" si="12"/>
        <v>1</v>
      </c>
    </row>
    <row r="109" spans="1:21">
      <c r="A109" s="2" t="s">
        <v>297</v>
      </c>
      <c r="B109" s="2" t="s">
        <v>15</v>
      </c>
      <c r="C109" s="2" t="str">
        <f t="shared" si="14"/>
        <v>2026-07-14</v>
      </c>
      <c r="D109" s="5">
        <f t="shared" si="15"/>
        <v>46217</v>
      </c>
      <c r="E109" s="2" t="s">
        <v>85</v>
      </c>
      <c r="F109" s="2" t="str">
        <f t="shared" si="16"/>
        <v>Karawang</v>
      </c>
      <c r="G109" s="2" t="s">
        <v>168</v>
      </c>
      <c r="H109" s="2" t="str">
        <f t="shared" si="17"/>
        <v>Mira Anjani</v>
      </c>
      <c r="I109" s="2" t="s">
        <v>298</v>
      </c>
      <c r="J109" s="2" t="str">
        <f t="shared" si="18"/>
        <v>Oscar Pratama</v>
      </c>
      <c r="K109" s="2" t="s">
        <v>44</v>
      </c>
      <c r="L109" s="2" t="s">
        <v>45</v>
      </c>
      <c r="M109" s="2">
        <v>1</v>
      </c>
      <c r="N109" s="3">
        <v>24600000</v>
      </c>
      <c r="O109" s="3">
        <v>246000</v>
      </c>
      <c r="P109" s="3">
        <v>24354000</v>
      </c>
      <c r="Q109" s="3" t="str">
        <f t="shared" si="13"/>
        <v>Normal</v>
      </c>
      <c r="R109" s="2" t="s">
        <v>29</v>
      </c>
      <c r="S109" s="2" t="s">
        <v>22</v>
      </c>
      <c r="T109" s="2" t="s">
        <v>39</v>
      </c>
      <c r="U109">
        <f t="shared" si="12"/>
        <v>1</v>
      </c>
    </row>
    <row r="110" spans="1:21">
      <c r="A110" s="2" t="s">
        <v>299</v>
      </c>
      <c r="B110" s="2" t="s">
        <v>140</v>
      </c>
      <c r="C110" s="2" t="str">
        <f t="shared" si="14"/>
        <v>2026-07-19</v>
      </c>
      <c r="D110" s="5">
        <f t="shared" si="15"/>
        <v>46222</v>
      </c>
      <c r="E110" s="2" t="s">
        <v>16</v>
      </c>
      <c r="F110" s="2" t="str">
        <f t="shared" si="16"/>
        <v>Cibubur</v>
      </c>
      <c r="G110" s="2" t="s">
        <v>75</v>
      </c>
      <c r="H110" s="2" t="str">
        <f t="shared" si="17"/>
        <v>Eka Putri</v>
      </c>
      <c r="I110" s="2" t="s">
        <v>165</v>
      </c>
      <c r="J110" s="2" t="str">
        <f t="shared" si="18"/>
        <v>Kevin Lestari</v>
      </c>
      <c r="K110" s="2" t="s">
        <v>19</v>
      </c>
      <c r="L110" s="2" t="s">
        <v>20</v>
      </c>
      <c r="M110" s="2">
        <v>1</v>
      </c>
      <c r="N110" s="3">
        <v>33500000</v>
      </c>
      <c r="O110" s="3">
        <v>670000</v>
      </c>
      <c r="P110" s="3">
        <v>32830000</v>
      </c>
      <c r="Q110" s="3" t="str">
        <f t="shared" si="13"/>
        <v>Normal</v>
      </c>
      <c r="R110" s="2" t="s">
        <v>62</v>
      </c>
      <c r="S110" s="2" t="s">
        <v>22</v>
      </c>
      <c r="T110" s="2" t="s">
        <v>77</v>
      </c>
      <c r="U110">
        <f t="shared" si="12"/>
        <v>1</v>
      </c>
    </row>
    <row r="111" spans="1:21">
      <c r="A111" s="2" t="s">
        <v>300</v>
      </c>
      <c r="B111" s="2" t="s">
        <v>125</v>
      </c>
      <c r="C111" s="2" t="str">
        <f t="shared" si="14"/>
        <v>16/07/2026</v>
      </c>
      <c r="D111" s="5">
        <f t="shared" si="15"/>
        <v>46219</v>
      </c>
      <c r="E111" s="2" t="s">
        <v>16</v>
      </c>
      <c r="F111" s="2" t="str">
        <f t="shared" si="16"/>
        <v>Cibubur</v>
      </c>
      <c r="G111" s="2" t="s">
        <v>66</v>
      </c>
      <c r="H111" s="2" t="str">
        <f t="shared" si="17"/>
        <v>Puji Lestari</v>
      </c>
      <c r="I111" s="2" t="s">
        <v>301</v>
      </c>
      <c r="J111" s="2" t="str">
        <f t="shared" si="18"/>
        <v>Putra Firmansyah</v>
      </c>
      <c r="K111" s="2" t="s">
        <v>51</v>
      </c>
      <c r="L111" s="2" t="s">
        <v>52</v>
      </c>
      <c r="M111" s="2">
        <v>1</v>
      </c>
      <c r="N111" s="3">
        <v>41000000</v>
      </c>
      <c r="O111" s="3">
        <v>410000</v>
      </c>
      <c r="P111" s="3">
        <v>40590000</v>
      </c>
      <c r="Q111" s="3" t="str">
        <f t="shared" si="13"/>
        <v>Normal</v>
      </c>
      <c r="R111" s="2" t="s">
        <v>29</v>
      </c>
      <c r="S111" s="2" t="s">
        <v>22</v>
      </c>
      <c r="T111" s="2" t="s">
        <v>23</v>
      </c>
      <c r="U111">
        <f t="shared" si="12"/>
        <v>1</v>
      </c>
    </row>
    <row r="112" spans="1:21">
      <c r="A112" s="2" t="s">
        <v>302</v>
      </c>
      <c r="B112" s="2" t="s">
        <v>140</v>
      </c>
      <c r="C112" s="2" t="str">
        <f t="shared" si="14"/>
        <v>2026-07-19</v>
      </c>
      <c r="D112" s="5">
        <f t="shared" si="15"/>
        <v>46222</v>
      </c>
      <c r="E112" s="2" t="s">
        <v>48</v>
      </c>
      <c r="F112" s="2" t="str">
        <f t="shared" si="16"/>
        <v>Jakarta Selatan</v>
      </c>
      <c r="G112" s="2" t="s">
        <v>34</v>
      </c>
      <c r="H112" s="2" t="str">
        <f t="shared" si="17"/>
        <v>Joko Widodo S.</v>
      </c>
      <c r="I112" s="2" t="s">
        <v>86</v>
      </c>
      <c r="J112" s="2" t="str">
        <f t="shared" si="18"/>
        <v>Citra Ramadhan</v>
      </c>
      <c r="K112" s="2" t="s">
        <v>152</v>
      </c>
      <c r="L112" s="2" t="s">
        <v>153</v>
      </c>
      <c r="M112" s="2">
        <v>1</v>
      </c>
      <c r="N112" s="3">
        <v>27400000</v>
      </c>
      <c r="O112" s="3">
        <v>822000</v>
      </c>
      <c r="P112" s="3">
        <v>0</v>
      </c>
      <c r="Q112" s="3" t="str">
        <f t="shared" si="13"/>
        <v>Batal/Refund</v>
      </c>
      <c r="R112" s="2" t="s">
        <v>46</v>
      </c>
      <c r="S112" s="2" t="s">
        <v>22</v>
      </c>
      <c r="T112" s="2" t="s">
        <v>23</v>
      </c>
      <c r="U112">
        <f t="shared" si="12"/>
        <v>1</v>
      </c>
    </row>
    <row r="113" spans="1:21">
      <c r="A113" s="2" t="s">
        <v>303</v>
      </c>
      <c r="B113" s="2" t="s">
        <v>64</v>
      </c>
      <c r="C113" s="2" t="str">
        <f t="shared" si="14"/>
        <v>2026-07-13</v>
      </c>
      <c r="D113" s="5">
        <f t="shared" si="15"/>
        <v>46216</v>
      </c>
      <c r="E113" s="2" t="s">
        <v>48</v>
      </c>
      <c r="F113" s="2" t="str">
        <f t="shared" si="16"/>
        <v>Jakarta Selatan</v>
      </c>
      <c r="G113" s="2" t="s">
        <v>72</v>
      </c>
      <c r="H113" s="2" t="str">
        <f t="shared" si="17"/>
        <v>Sari Dewi</v>
      </c>
      <c r="I113" s="2" t="s">
        <v>304</v>
      </c>
      <c r="J113" s="2" t="str">
        <f t="shared" si="18"/>
        <v>Fitri Wijaya</v>
      </c>
      <c r="K113" s="2" t="s">
        <v>142</v>
      </c>
      <c r="L113" s="2" t="s">
        <v>143</v>
      </c>
      <c r="M113" s="2">
        <v>1</v>
      </c>
      <c r="N113" s="3">
        <v>18900000</v>
      </c>
      <c r="O113" s="3">
        <v>0</v>
      </c>
      <c r="P113" s="3">
        <v>18900000</v>
      </c>
      <c r="Q113" s="3" t="str">
        <f t="shared" si="13"/>
        <v>Normal</v>
      </c>
      <c r="R113" s="2" t="s">
        <v>29</v>
      </c>
      <c r="S113" s="2" t="s">
        <v>22</v>
      </c>
      <c r="T113" s="2" t="s">
        <v>30</v>
      </c>
      <c r="U113">
        <f t="shared" si="12"/>
        <v>1</v>
      </c>
    </row>
    <row r="114" spans="1:21">
      <c r="A114" s="2" t="s">
        <v>305</v>
      </c>
      <c r="B114" s="2" t="s">
        <v>102</v>
      </c>
      <c r="C114" s="2" t="str">
        <f t="shared" si="14"/>
        <v>18/07/2026</v>
      </c>
      <c r="D114" s="5">
        <f t="shared" si="15"/>
        <v>46221</v>
      </c>
      <c r="E114" s="2" t="s">
        <v>112</v>
      </c>
      <c r="F114" s="2" t="str">
        <f t="shared" si="16"/>
        <v>Jakarta Timur</v>
      </c>
      <c r="G114" s="2" t="s">
        <v>201</v>
      </c>
      <c r="H114" s="2" t="str">
        <f t="shared" si="17"/>
        <v>Nanda Pratama</v>
      </c>
      <c r="I114" s="2" t="s">
        <v>278</v>
      </c>
      <c r="J114" s="2" t="str">
        <f t="shared" si="18"/>
        <v>Oscar Lestari</v>
      </c>
      <c r="K114" s="2" t="s">
        <v>44</v>
      </c>
      <c r="L114" s="2" t="s">
        <v>45</v>
      </c>
      <c r="M114" s="2">
        <v>1</v>
      </c>
      <c r="N114" s="3">
        <v>24600000</v>
      </c>
      <c r="O114" s="3">
        <v>246000</v>
      </c>
      <c r="P114" s="3">
        <v>24354000</v>
      </c>
      <c r="Q114" s="3" t="str">
        <f t="shared" si="13"/>
        <v>Normal</v>
      </c>
      <c r="R114" s="2" t="s">
        <v>46</v>
      </c>
      <c r="S114" s="2" t="s">
        <v>22</v>
      </c>
      <c r="T114" s="2" t="s">
        <v>77</v>
      </c>
      <c r="U114">
        <f t="shared" si="12"/>
        <v>1</v>
      </c>
    </row>
    <row r="115" spans="1:21">
      <c r="A115" s="2" t="s">
        <v>306</v>
      </c>
      <c r="B115" s="2" t="s">
        <v>57</v>
      </c>
      <c r="C115" s="2" t="str">
        <f t="shared" si="14"/>
        <v>2026-07-17</v>
      </c>
      <c r="D115" s="5">
        <f t="shared" si="15"/>
        <v>46220</v>
      </c>
      <c r="E115" s="2" t="s">
        <v>48</v>
      </c>
      <c r="F115" s="2" t="str">
        <f t="shared" si="16"/>
        <v>Jakarta Selatan</v>
      </c>
      <c r="G115" s="2" t="s">
        <v>242</v>
      </c>
      <c r="H115" s="2" t="str">
        <f t="shared" si="17"/>
        <v>Rudi Hartono</v>
      </c>
      <c r="I115" s="2" t="s">
        <v>174</v>
      </c>
      <c r="J115" s="2" t="str">
        <f t="shared" si="18"/>
        <v>Irfan Saputra</v>
      </c>
      <c r="K115" s="2" t="s">
        <v>152</v>
      </c>
      <c r="L115" s="2" t="s">
        <v>153</v>
      </c>
      <c r="M115" s="2">
        <v>1</v>
      </c>
      <c r="N115" s="3">
        <v>27400000</v>
      </c>
      <c r="O115" s="3">
        <v>274000</v>
      </c>
      <c r="P115" s="3">
        <v>27126000</v>
      </c>
      <c r="Q115" s="3" t="str">
        <f t="shared" si="13"/>
        <v>Normal</v>
      </c>
      <c r="R115" s="2" t="s">
        <v>46</v>
      </c>
      <c r="S115" s="2" t="s">
        <v>22</v>
      </c>
      <c r="T115" s="2" t="s">
        <v>30</v>
      </c>
      <c r="U115">
        <f t="shared" si="12"/>
        <v>1</v>
      </c>
    </row>
    <row r="116" spans="1:21">
      <c r="A116" s="2" t="s">
        <v>307</v>
      </c>
      <c r="B116" s="2" t="s">
        <v>15</v>
      </c>
      <c r="C116" s="2" t="str">
        <f t="shared" si="14"/>
        <v>2026-07-14</v>
      </c>
      <c r="D116" s="5">
        <f t="shared" si="15"/>
        <v>46217</v>
      </c>
      <c r="E116" s="2" t="s">
        <v>26</v>
      </c>
      <c r="F116" s="2" t="str">
        <f t="shared" si="16"/>
        <v>Sukabumi</v>
      </c>
      <c r="G116" s="2" t="s">
        <v>98</v>
      </c>
      <c r="H116" s="2" t="str">
        <f t="shared" si="17"/>
        <v>Rangga Saputra</v>
      </c>
      <c r="I116" s="2" t="s">
        <v>225</v>
      </c>
      <c r="J116" s="2" t="str">
        <f t="shared" si="18"/>
        <v>Dewi Hidayat</v>
      </c>
      <c r="K116" s="2" t="s">
        <v>99</v>
      </c>
      <c r="L116" s="2" t="s">
        <v>100</v>
      </c>
      <c r="M116" s="2">
        <v>1</v>
      </c>
      <c r="N116" s="3">
        <v>29800000</v>
      </c>
      <c r="O116" s="3">
        <v>894000</v>
      </c>
      <c r="P116" s="3">
        <v>28906000</v>
      </c>
      <c r="Q116" s="3" t="str">
        <f t="shared" si="13"/>
        <v>Normal</v>
      </c>
      <c r="R116" s="2" t="s">
        <v>29</v>
      </c>
      <c r="S116" s="2" t="s">
        <v>22</v>
      </c>
      <c r="T116" s="2" t="s">
        <v>30</v>
      </c>
      <c r="U116">
        <f t="shared" si="12"/>
        <v>1</v>
      </c>
    </row>
    <row r="117" spans="1:21">
      <c r="A117" s="2" t="s">
        <v>308</v>
      </c>
      <c r="B117" s="2" t="s">
        <v>125</v>
      </c>
      <c r="C117" s="2" t="str">
        <f t="shared" si="14"/>
        <v>16/07/2026</v>
      </c>
      <c r="D117" s="5">
        <f t="shared" si="15"/>
        <v>46219</v>
      </c>
      <c r="E117" s="2" t="s">
        <v>97</v>
      </c>
      <c r="F117" s="2" t="str">
        <f t="shared" si="16"/>
        <v>Serang</v>
      </c>
      <c r="G117" s="2" t="s">
        <v>72</v>
      </c>
      <c r="H117" s="2" t="str">
        <f t="shared" si="17"/>
        <v>Sari Dewi</v>
      </c>
      <c r="I117" s="2" t="s">
        <v>259</v>
      </c>
      <c r="J117" s="2" t="str">
        <f t="shared" si="18"/>
        <v>Lala Lestari</v>
      </c>
      <c r="K117" s="2" t="s">
        <v>91</v>
      </c>
      <c r="L117" s="2" t="s">
        <v>92</v>
      </c>
      <c r="M117" s="2">
        <v>1</v>
      </c>
      <c r="N117" s="3">
        <v>26900000</v>
      </c>
      <c r="O117" s="3">
        <v>0</v>
      </c>
      <c r="P117" s="3">
        <v>26900000</v>
      </c>
      <c r="Q117" s="3" t="str">
        <f t="shared" si="13"/>
        <v>Normal</v>
      </c>
      <c r="R117" s="2" t="s">
        <v>21</v>
      </c>
      <c r="S117" s="2" t="s">
        <v>22</v>
      </c>
      <c r="T117" s="2" t="s">
        <v>30</v>
      </c>
      <c r="U117">
        <f t="shared" si="12"/>
        <v>1</v>
      </c>
    </row>
    <row r="118" spans="1:21">
      <c r="A118" s="2" t="s">
        <v>311</v>
      </c>
      <c r="B118" s="2" t="s">
        <v>15</v>
      </c>
      <c r="C118" s="2" t="str">
        <f t="shared" si="14"/>
        <v>2026-07-14</v>
      </c>
      <c r="D118" s="5">
        <f t="shared" si="15"/>
        <v>46217</v>
      </c>
      <c r="E118" s="2" t="s">
        <v>89</v>
      </c>
      <c r="F118" s="2" t="str">
        <f t="shared" si="16"/>
        <v>Bekasi</v>
      </c>
      <c r="G118" s="2" t="s">
        <v>201</v>
      </c>
      <c r="H118" s="2" t="str">
        <f t="shared" si="17"/>
        <v>Nanda Pratama</v>
      </c>
      <c r="I118" s="2" t="s">
        <v>312</v>
      </c>
      <c r="J118" s="2" t="str">
        <f t="shared" si="18"/>
        <v>Galih Wijaya</v>
      </c>
      <c r="K118" s="2" t="s">
        <v>19</v>
      </c>
      <c r="L118" s="2" t="s">
        <v>20</v>
      </c>
      <c r="M118" s="2">
        <v>1</v>
      </c>
      <c r="N118" s="3">
        <v>33500000</v>
      </c>
      <c r="O118" s="3">
        <v>335000</v>
      </c>
      <c r="P118" s="3">
        <v>33165000</v>
      </c>
      <c r="Q118" s="3" t="str">
        <f t="shared" si="13"/>
        <v>Normal</v>
      </c>
      <c r="R118" s="2" t="s">
        <v>29</v>
      </c>
      <c r="S118" s="2" t="s">
        <v>22</v>
      </c>
      <c r="T118" s="2" t="s">
        <v>77</v>
      </c>
      <c r="U118">
        <f t="shared" si="12"/>
        <v>1</v>
      </c>
    </row>
    <row r="119" spans="1:21">
      <c r="A119" s="2" t="s">
        <v>313</v>
      </c>
      <c r="B119" s="2" t="s">
        <v>25</v>
      </c>
      <c r="C119" s="2" t="str">
        <f t="shared" si="14"/>
        <v>2026-07-16</v>
      </c>
      <c r="D119" s="5">
        <f t="shared" si="15"/>
        <v>46219</v>
      </c>
      <c r="E119" s="2" t="s">
        <v>182</v>
      </c>
      <c r="F119" s="2" t="str">
        <f t="shared" si="16"/>
        <v>Bogor</v>
      </c>
      <c r="G119" s="2" t="s">
        <v>66</v>
      </c>
      <c r="H119" s="2" t="str">
        <f t="shared" si="17"/>
        <v>Puji Lestari</v>
      </c>
      <c r="I119" s="2" t="s">
        <v>314</v>
      </c>
      <c r="J119" s="2" t="str">
        <f t="shared" si="18"/>
        <v>Citra Firmansyah</v>
      </c>
      <c r="K119" s="2" t="s">
        <v>152</v>
      </c>
      <c r="L119" s="2" t="s">
        <v>153</v>
      </c>
      <c r="M119" s="2">
        <v>1</v>
      </c>
      <c r="N119" s="3">
        <v>27400000</v>
      </c>
      <c r="O119" s="3">
        <v>274000</v>
      </c>
      <c r="P119" s="3">
        <v>27126000</v>
      </c>
      <c r="Q119" s="3" t="str">
        <f t="shared" si="13"/>
        <v>Normal</v>
      </c>
      <c r="R119" s="2" t="s">
        <v>21</v>
      </c>
      <c r="S119" s="2" t="s">
        <v>22</v>
      </c>
      <c r="T119" s="2" t="s">
        <v>77</v>
      </c>
      <c r="U119">
        <f t="shared" si="12"/>
        <v>1</v>
      </c>
    </row>
    <row r="120" spans="1:21">
      <c r="A120" s="2" t="s">
        <v>315</v>
      </c>
      <c r="B120" s="2" t="s">
        <v>125</v>
      </c>
      <c r="C120" s="2" t="str">
        <f t="shared" si="14"/>
        <v>16/07/2026</v>
      </c>
      <c r="D120" s="5">
        <f t="shared" si="15"/>
        <v>46219</v>
      </c>
      <c r="E120" s="2" t="s">
        <v>97</v>
      </c>
      <c r="F120" s="2" t="str">
        <f t="shared" si="16"/>
        <v>Serang</v>
      </c>
      <c r="G120" s="2" t="s">
        <v>27</v>
      </c>
      <c r="H120" s="2" t="str">
        <f t="shared" si="17"/>
        <v>Vino Bastian G.</v>
      </c>
      <c r="I120" s="2" t="s">
        <v>280</v>
      </c>
      <c r="J120" s="2" t="str">
        <f t="shared" si="18"/>
        <v>Made Hidayat</v>
      </c>
      <c r="K120" s="2" t="s">
        <v>19</v>
      </c>
      <c r="L120" s="2" t="s">
        <v>20</v>
      </c>
      <c r="M120" s="2">
        <v>1</v>
      </c>
      <c r="N120" s="3">
        <v>33500000</v>
      </c>
      <c r="O120" s="3">
        <v>0</v>
      </c>
      <c r="P120" s="3">
        <v>33500000</v>
      </c>
      <c r="Q120" s="3" t="str">
        <f t="shared" si="13"/>
        <v>Normal</v>
      </c>
      <c r="R120" s="2" t="s">
        <v>21</v>
      </c>
      <c r="S120" s="2" t="s">
        <v>22</v>
      </c>
      <c r="T120" s="2" t="s">
        <v>30</v>
      </c>
      <c r="U120">
        <f t="shared" si="12"/>
        <v>1</v>
      </c>
    </row>
    <row r="121" spans="1:21">
      <c r="A121" s="2" t="s">
        <v>316</v>
      </c>
      <c r="B121" s="2" t="s">
        <v>108</v>
      </c>
      <c r="C121" s="2" t="str">
        <f t="shared" si="14"/>
        <v>2026-07-18</v>
      </c>
      <c r="D121" s="5">
        <f t="shared" si="15"/>
        <v>46221</v>
      </c>
      <c r="E121" s="2" t="s">
        <v>182</v>
      </c>
      <c r="F121" s="2" t="str">
        <f t="shared" si="16"/>
        <v>Bogor</v>
      </c>
      <c r="G121" s="2" t="s">
        <v>34</v>
      </c>
      <c r="H121" s="2" t="str">
        <f t="shared" si="17"/>
        <v>Joko Widodo S.</v>
      </c>
      <c r="I121" s="2" t="s">
        <v>317</v>
      </c>
      <c r="J121" s="2" t="str">
        <f t="shared" si="18"/>
        <v>Irfan Lestari</v>
      </c>
      <c r="K121" s="2" t="s">
        <v>99</v>
      </c>
      <c r="L121" s="2" t="s">
        <v>100</v>
      </c>
      <c r="M121" s="2">
        <v>1</v>
      </c>
      <c r="N121" s="3">
        <v>29800000</v>
      </c>
      <c r="O121" s="3">
        <v>0</v>
      </c>
      <c r="P121" s="3">
        <v>29800000</v>
      </c>
      <c r="Q121" s="3" t="str">
        <f t="shared" si="13"/>
        <v>Normal</v>
      </c>
      <c r="R121" s="2" t="s">
        <v>46</v>
      </c>
      <c r="S121" s="2" t="s">
        <v>87</v>
      </c>
      <c r="T121" s="2" t="s">
        <v>30</v>
      </c>
      <c r="U121">
        <f t="shared" si="12"/>
        <v>1</v>
      </c>
    </row>
    <row r="122" spans="1:21">
      <c r="A122" s="2" t="s">
        <v>318</v>
      </c>
      <c r="B122" s="2" t="s">
        <v>25</v>
      </c>
      <c r="C122" s="2" t="str">
        <f t="shared" si="14"/>
        <v>2026-07-16</v>
      </c>
      <c r="D122" s="5">
        <f t="shared" si="15"/>
        <v>46219</v>
      </c>
      <c r="E122" s="2" t="s">
        <v>148</v>
      </c>
      <c r="F122" s="2" t="str">
        <f t="shared" si="16"/>
        <v>Cikarang</v>
      </c>
      <c r="G122" s="2" t="s">
        <v>126</v>
      </c>
      <c r="H122" s="2" t="str">
        <f t="shared" si="17"/>
        <v>Oki Setiawan</v>
      </c>
      <c r="I122" s="2" t="s">
        <v>183</v>
      </c>
      <c r="J122" s="2" t="str">
        <f t="shared" si="18"/>
        <v>Galih Hidayat</v>
      </c>
      <c r="K122" s="2" t="s">
        <v>19</v>
      </c>
      <c r="L122" s="2" t="s">
        <v>20</v>
      </c>
      <c r="M122" s="2">
        <v>1</v>
      </c>
      <c r="N122" s="3">
        <v>33500000</v>
      </c>
      <c r="O122" s="3">
        <v>1005000</v>
      </c>
      <c r="P122" s="3">
        <v>32495000</v>
      </c>
      <c r="Q122" s="3" t="str">
        <f t="shared" si="13"/>
        <v>Normal</v>
      </c>
      <c r="R122" s="2" t="s">
        <v>21</v>
      </c>
      <c r="S122" s="2" t="s">
        <v>22</v>
      </c>
      <c r="T122" s="2" t="s">
        <v>39</v>
      </c>
      <c r="U122">
        <f t="shared" si="12"/>
        <v>1</v>
      </c>
    </row>
    <row r="123" spans="1:21">
      <c r="A123" s="2" t="s">
        <v>319</v>
      </c>
      <c r="B123" s="2" t="s">
        <v>25</v>
      </c>
      <c r="C123" s="2" t="str">
        <f t="shared" si="14"/>
        <v>2026-07-16</v>
      </c>
      <c r="D123" s="5">
        <f t="shared" si="15"/>
        <v>46219</v>
      </c>
      <c r="E123" s="2" t="s">
        <v>97</v>
      </c>
      <c r="F123" s="2" t="str">
        <f t="shared" si="16"/>
        <v>Serang</v>
      </c>
      <c r="G123" s="2" t="s">
        <v>201</v>
      </c>
      <c r="H123" s="2" t="str">
        <f t="shared" si="17"/>
        <v>Nanda Pratama</v>
      </c>
      <c r="I123" s="2" t="s">
        <v>320</v>
      </c>
      <c r="J123" s="2" t="str">
        <f t="shared" si="18"/>
        <v>Rendi Hidayat</v>
      </c>
      <c r="K123" s="2" t="s">
        <v>99</v>
      </c>
      <c r="L123" s="2" t="s">
        <v>100</v>
      </c>
      <c r="M123" s="2">
        <v>1</v>
      </c>
      <c r="N123" s="3">
        <v>29800000</v>
      </c>
      <c r="O123" s="3">
        <v>894000</v>
      </c>
      <c r="P123" s="3">
        <v>28906000</v>
      </c>
      <c r="Q123" s="3" t="str">
        <f t="shared" si="13"/>
        <v>Normal</v>
      </c>
      <c r="R123" s="2" t="s">
        <v>29</v>
      </c>
      <c r="S123" s="2" t="s">
        <v>22</v>
      </c>
      <c r="T123" s="2" t="s">
        <v>39</v>
      </c>
      <c r="U123">
        <f t="shared" si="12"/>
        <v>1</v>
      </c>
    </row>
    <row r="124" spans="1:21">
      <c r="A124" s="2" t="s">
        <v>321</v>
      </c>
      <c r="B124" s="2" t="s">
        <v>215</v>
      </c>
      <c r="C124" s="2" t="str">
        <f t="shared" si="14"/>
        <v>13/07/2026</v>
      </c>
      <c r="D124" s="5">
        <f t="shared" si="15"/>
        <v>46216</v>
      </c>
      <c r="E124" s="2" t="s">
        <v>71</v>
      </c>
      <c r="F124" s="2" t="str">
        <f t="shared" si="16"/>
        <v>Bekasi</v>
      </c>
      <c r="G124" s="2" t="s">
        <v>54</v>
      </c>
      <c r="H124" s="2" t="str">
        <f t="shared" si="17"/>
        <v>Hadi Santoso</v>
      </c>
      <c r="I124" s="2" t="s">
        <v>322</v>
      </c>
      <c r="J124" s="2" t="str">
        <f t="shared" si="18"/>
        <v>Siska Hidayat</v>
      </c>
      <c r="K124" s="2" t="s">
        <v>44</v>
      </c>
      <c r="L124" s="2" t="s">
        <v>45</v>
      </c>
      <c r="M124" s="2">
        <v>1</v>
      </c>
      <c r="N124" s="3">
        <v>24600000</v>
      </c>
      <c r="O124" s="3">
        <v>492000</v>
      </c>
      <c r="P124" s="3">
        <v>24108000</v>
      </c>
      <c r="Q124" s="3" t="str">
        <f t="shared" si="13"/>
        <v>Normal</v>
      </c>
      <c r="R124" s="2" t="s">
        <v>46</v>
      </c>
      <c r="S124" s="2" t="s">
        <v>22</v>
      </c>
      <c r="T124" s="2" t="s">
        <v>39</v>
      </c>
      <c r="U124">
        <f t="shared" si="12"/>
        <v>1</v>
      </c>
    </row>
    <row r="125" spans="1:21">
      <c r="A125" s="2" t="s">
        <v>323</v>
      </c>
      <c r="B125" s="2" t="s">
        <v>57</v>
      </c>
      <c r="C125" s="2" t="str">
        <f t="shared" si="14"/>
        <v>2026-07-17</v>
      </c>
      <c r="D125" s="5">
        <f t="shared" si="15"/>
        <v>46220</v>
      </c>
      <c r="E125" s="2" t="s">
        <v>48</v>
      </c>
      <c r="F125" s="2" t="str">
        <f t="shared" si="16"/>
        <v>Jakarta Selatan</v>
      </c>
      <c r="G125" s="2" t="s">
        <v>42</v>
      </c>
      <c r="H125" s="2" t="str">
        <f t="shared" si="17"/>
        <v>Lina Marlina</v>
      </c>
      <c r="I125" s="2" t="s">
        <v>324</v>
      </c>
      <c r="J125" s="2" t="str">
        <f t="shared" si="18"/>
        <v>Hana Maharani</v>
      </c>
      <c r="K125" s="2" t="s">
        <v>19</v>
      </c>
      <c r="L125" s="2" t="s">
        <v>20</v>
      </c>
      <c r="M125" s="2">
        <v>1</v>
      </c>
      <c r="N125" s="3">
        <v>33500000</v>
      </c>
      <c r="O125" s="3">
        <v>335000</v>
      </c>
      <c r="P125" s="3">
        <v>33165000</v>
      </c>
      <c r="Q125" s="3" t="str">
        <f t="shared" si="13"/>
        <v>Normal</v>
      </c>
      <c r="R125" s="2" t="s">
        <v>46</v>
      </c>
      <c r="S125" s="2" t="s">
        <v>22</v>
      </c>
      <c r="T125" s="2" t="s">
        <v>30</v>
      </c>
      <c r="U125">
        <f t="shared" si="12"/>
        <v>1</v>
      </c>
    </row>
    <row r="126" spans="1:21">
      <c r="A126" s="2" t="s">
        <v>325</v>
      </c>
      <c r="B126" s="2" t="s">
        <v>25</v>
      </c>
      <c r="C126" s="2" t="str">
        <f t="shared" si="14"/>
        <v>2026-07-16</v>
      </c>
      <c r="D126" s="5">
        <f t="shared" si="15"/>
        <v>46219</v>
      </c>
      <c r="E126" s="2" t="s">
        <v>48</v>
      </c>
      <c r="F126" s="2" t="str">
        <f t="shared" si="16"/>
        <v>Jakarta Selatan</v>
      </c>
      <c r="G126" s="2"/>
      <c r="H126" s="2" t="str">
        <f t="shared" si="17"/>
        <v>Unknown</v>
      </c>
      <c r="I126" s="2" t="s">
        <v>280</v>
      </c>
      <c r="J126" s="2" t="str">
        <f t="shared" si="18"/>
        <v>Made Hidayat</v>
      </c>
      <c r="K126" s="2" t="s">
        <v>142</v>
      </c>
      <c r="L126" s="2" t="s">
        <v>143</v>
      </c>
      <c r="M126" s="2">
        <v>1</v>
      </c>
      <c r="N126" s="3">
        <v>18900000</v>
      </c>
      <c r="O126" s="3">
        <v>378000</v>
      </c>
      <c r="P126" s="3">
        <v>18522000</v>
      </c>
      <c r="Q126" s="3" t="str">
        <f t="shared" si="13"/>
        <v>Normal</v>
      </c>
      <c r="R126" s="2" t="s">
        <v>21</v>
      </c>
      <c r="S126" s="2" t="s">
        <v>22</v>
      </c>
      <c r="T126" s="2" t="s">
        <v>30</v>
      </c>
      <c r="U126">
        <f t="shared" si="12"/>
        <v>1</v>
      </c>
    </row>
    <row r="127" spans="1:21">
      <c r="A127" s="2" t="s">
        <v>326</v>
      </c>
      <c r="B127" s="2" t="s">
        <v>189</v>
      </c>
      <c r="C127" s="2" t="str">
        <f t="shared" si="14"/>
        <v>14/07/2026</v>
      </c>
      <c r="D127" s="5">
        <f t="shared" si="15"/>
        <v>46217</v>
      </c>
      <c r="E127" s="2" t="s">
        <v>71</v>
      </c>
      <c r="F127" s="2" t="str">
        <f t="shared" si="16"/>
        <v>Bekasi</v>
      </c>
      <c r="G127" s="2" t="s">
        <v>66</v>
      </c>
      <c r="H127" s="2" t="str">
        <f t="shared" si="17"/>
        <v>Puji Lestari</v>
      </c>
      <c r="I127" s="2" t="s">
        <v>327</v>
      </c>
      <c r="J127" s="2" t="str">
        <f t="shared" si="18"/>
        <v>Tono Firmansyah</v>
      </c>
      <c r="K127" s="2" t="s">
        <v>99</v>
      </c>
      <c r="L127" s="2" t="s">
        <v>100</v>
      </c>
      <c r="M127" s="2">
        <v>1</v>
      </c>
      <c r="N127" s="3">
        <v>29800000</v>
      </c>
      <c r="O127" s="3">
        <v>596000</v>
      </c>
      <c r="P127" s="3">
        <v>29204000</v>
      </c>
      <c r="Q127" s="3" t="str">
        <f t="shared" si="13"/>
        <v>Normal</v>
      </c>
      <c r="R127" s="2" t="s">
        <v>38</v>
      </c>
      <c r="S127" s="2" t="s">
        <v>22</v>
      </c>
      <c r="T127" s="2" t="s">
        <v>23</v>
      </c>
      <c r="U127">
        <f t="shared" si="12"/>
        <v>1</v>
      </c>
    </row>
    <row r="128" spans="1:21">
      <c r="A128" s="2" t="s">
        <v>328</v>
      </c>
      <c r="B128" s="2" t="s">
        <v>57</v>
      </c>
      <c r="C128" s="2" t="str">
        <f t="shared" si="14"/>
        <v>2026-07-17</v>
      </c>
      <c r="D128" s="5">
        <f t="shared" si="15"/>
        <v>46220</v>
      </c>
      <c r="E128" s="2" t="s">
        <v>26</v>
      </c>
      <c r="F128" s="2" t="str">
        <f t="shared" si="16"/>
        <v>Sukabumi</v>
      </c>
      <c r="G128" s="2" t="s">
        <v>113</v>
      </c>
      <c r="H128" s="2" t="str">
        <f t="shared" si="17"/>
        <v>Lukman Hakim</v>
      </c>
      <c r="I128" s="2" t="s">
        <v>329</v>
      </c>
      <c r="J128" s="2" t="str">
        <f t="shared" si="18"/>
        <v>Dewi Wijaya</v>
      </c>
      <c r="K128" s="2" t="s">
        <v>152</v>
      </c>
      <c r="L128" s="2" t="s">
        <v>153</v>
      </c>
      <c r="M128" s="2">
        <v>1</v>
      </c>
      <c r="N128" s="3">
        <v>27400000</v>
      </c>
      <c r="O128" s="3">
        <v>0</v>
      </c>
      <c r="P128" s="3">
        <v>27400000</v>
      </c>
      <c r="Q128" s="3" t="str">
        <f t="shared" si="13"/>
        <v>Normal</v>
      </c>
      <c r="R128" s="2" t="s">
        <v>38</v>
      </c>
      <c r="S128" s="2" t="s">
        <v>82</v>
      </c>
      <c r="T128" s="2" t="s">
        <v>77</v>
      </c>
      <c r="U128">
        <f t="shared" si="12"/>
        <v>1</v>
      </c>
    </row>
    <row r="129" spans="1:21">
      <c r="A129" s="2" t="s">
        <v>330</v>
      </c>
      <c r="B129" s="2" t="s">
        <v>162</v>
      </c>
      <c r="C129" s="2" t="str">
        <f t="shared" si="14"/>
        <v>18/07/2026</v>
      </c>
      <c r="D129" s="5">
        <f t="shared" si="15"/>
        <v>46221</v>
      </c>
      <c r="E129" s="2" t="s">
        <v>26</v>
      </c>
      <c r="F129" s="2" t="str">
        <f t="shared" si="16"/>
        <v>Sukabumi</v>
      </c>
      <c r="G129" s="2"/>
      <c r="H129" s="2" t="str">
        <f t="shared" si="17"/>
        <v>Unknown</v>
      </c>
      <c r="I129" s="2" t="s">
        <v>331</v>
      </c>
      <c r="J129" s="2" t="str">
        <f t="shared" si="18"/>
        <v>Oscar Kusuma</v>
      </c>
      <c r="K129" s="2" t="s">
        <v>152</v>
      </c>
      <c r="L129" s="2" t="s">
        <v>153</v>
      </c>
      <c r="M129" s="2">
        <v>1</v>
      </c>
      <c r="N129" s="3">
        <v>27400000</v>
      </c>
      <c r="O129" s="3">
        <v>0</v>
      </c>
      <c r="P129" s="3">
        <v>27400000</v>
      </c>
      <c r="Q129" s="3" t="str">
        <f t="shared" si="13"/>
        <v>Normal</v>
      </c>
      <c r="R129" s="2" t="s">
        <v>38</v>
      </c>
      <c r="S129" s="2" t="s">
        <v>82</v>
      </c>
      <c r="T129" s="2" t="s">
        <v>39</v>
      </c>
      <c r="U129">
        <f t="shared" si="12"/>
        <v>1</v>
      </c>
    </row>
    <row r="130" spans="1:21">
      <c r="A130" s="2" t="s">
        <v>332</v>
      </c>
      <c r="B130" s="2" t="s">
        <v>108</v>
      </c>
      <c r="C130" s="2" t="str">
        <f t="shared" si="14"/>
        <v>2026-07-18</v>
      </c>
      <c r="D130" s="5">
        <f t="shared" si="15"/>
        <v>46221</v>
      </c>
      <c r="E130" s="2" t="s">
        <v>89</v>
      </c>
      <c r="F130" s="2" t="str">
        <f t="shared" si="16"/>
        <v>Bekasi</v>
      </c>
      <c r="G130" s="2" t="s">
        <v>34</v>
      </c>
      <c r="H130" s="2" t="str">
        <f t="shared" si="17"/>
        <v>Joko Widodo S.</v>
      </c>
      <c r="I130" s="2" t="s">
        <v>333</v>
      </c>
      <c r="J130" s="2" t="str">
        <f t="shared" si="18"/>
        <v>Irfan Maharani</v>
      </c>
      <c r="K130" s="2" t="s">
        <v>99</v>
      </c>
      <c r="L130" s="2" t="s">
        <v>100</v>
      </c>
      <c r="M130" s="2">
        <v>1</v>
      </c>
      <c r="N130" s="3">
        <v>29800000</v>
      </c>
      <c r="O130" s="3">
        <v>298000</v>
      </c>
      <c r="P130" s="3">
        <v>29502000</v>
      </c>
      <c r="Q130" s="3" t="str">
        <f t="shared" si="13"/>
        <v>Normal</v>
      </c>
      <c r="R130" s="2" t="s">
        <v>29</v>
      </c>
      <c r="S130" s="2" t="s">
        <v>22</v>
      </c>
      <c r="T130" s="2" t="s">
        <v>23</v>
      </c>
      <c r="U130">
        <f t="shared" ref="U130:U193" si="19">COUNTIF($A$2:$A$342,A130)</f>
        <v>1</v>
      </c>
    </row>
    <row r="131" spans="1:21">
      <c r="A131" s="2" t="s">
        <v>334</v>
      </c>
      <c r="B131" s="2" t="s">
        <v>84</v>
      </c>
      <c r="C131" s="2" t="str">
        <f t="shared" si="14"/>
        <v>2026-07-15</v>
      </c>
      <c r="D131" s="5">
        <f t="shared" si="15"/>
        <v>46218</v>
      </c>
      <c r="E131" s="2" t="s">
        <v>71</v>
      </c>
      <c r="F131" s="2" t="str">
        <f t="shared" si="16"/>
        <v>Bekasi</v>
      </c>
      <c r="G131" s="2" t="s">
        <v>98</v>
      </c>
      <c r="H131" s="2" t="str">
        <f t="shared" si="17"/>
        <v>Rangga Saputra</v>
      </c>
      <c r="I131" s="2" t="s">
        <v>291</v>
      </c>
      <c r="J131" s="2" t="str">
        <f t="shared" si="18"/>
        <v>Budi Anggraini</v>
      </c>
      <c r="K131" s="2" t="s">
        <v>91</v>
      </c>
      <c r="L131" s="2" t="s">
        <v>92</v>
      </c>
      <c r="M131" s="2">
        <v>1</v>
      </c>
      <c r="N131" s="3">
        <v>26900000</v>
      </c>
      <c r="O131" s="3">
        <v>0</v>
      </c>
      <c r="P131" s="3">
        <v>26900000</v>
      </c>
      <c r="Q131" s="3" t="str">
        <f t="shared" ref="Q131:Q194" si="20">IF(P131=0,"Batal/Refund","Normal")</f>
        <v>Normal</v>
      </c>
      <c r="R131" s="2" t="s">
        <v>38</v>
      </c>
      <c r="S131" s="2" t="s">
        <v>82</v>
      </c>
      <c r="T131" s="2" t="s">
        <v>30</v>
      </c>
      <c r="U131">
        <f t="shared" si="19"/>
        <v>1</v>
      </c>
    </row>
    <row r="132" spans="1:21">
      <c r="A132" s="2" t="s">
        <v>335</v>
      </c>
      <c r="B132" s="2" t="s">
        <v>111</v>
      </c>
      <c r="C132" s="2" t="str">
        <f t="shared" si="14"/>
        <v>14/07/2026</v>
      </c>
      <c r="D132" s="5">
        <f t="shared" si="15"/>
        <v>46217</v>
      </c>
      <c r="E132" s="2" t="s">
        <v>155</v>
      </c>
      <c r="F132" s="2" t="str">
        <f t="shared" si="16"/>
        <v>Tangerang</v>
      </c>
      <c r="G132" s="2" t="s">
        <v>72</v>
      </c>
      <c r="H132" s="2" t="str">
        <f t="shared" si="17"/>
        <v>Sari Dewi</v>
      </c>
      <c r="I132" s="2" t="s">
        <v>336</v>
      </c>
      <c r="J132" s="2" t="str">
        <f t="shared" si="18"/>
        <v>Rendi Anggraini</v>
      </c>
      <c r="K132" s="2" t="s">
        <v>36</v>
      </c>
      <c r="L132" s="2" t="s">
        <v>37</v>
      </c>
      <c r="M132" s="2">
        <v>1</v>
      </c>
      <c r="N132" s="3">
        <v>22300000</v>
      </c>
      <c r="O132" s="3">
        <v>669000</v>
      </c>
      <c r="P132" s="3">
        <v>21631000</v>
      </c>
      <c r="Q132" s="3" t="str">
        <f t="shared" si="20"/>
        <v>Normal</v>
      </c>
      <c r="R132" s="2" t="s">
        <v>46</v>
      </c>
      <c r="S132" s="2" t="s">
        <v>22</v>
      </c>
      <c r="T132" s="2" t="s">
        <v>39</v>
      </c>
      <c r="U132">
        <f t="shared" si="19"/>
        <v>1</v>
      </c>
    </row>
    <row r="133" spans="1:21">
      <c r="A133" s="2" t="s">
        <v>337</v>
      </c>
      <c r="B133" s="2" t="s">
        <v>84</v>
      </c>
      <c r="C133" s="2" t="str">
        <f t="shared" si="14"/>
        <v>2026-07-15</v>
      </c>
      <c r="D133" s="5">
        <f t="shared" si="15"/>
        <v>46218</v>
      </c>
      <c r="E133" s="2" t="s">
        <v>33</v>
      </c>
      <c r="F133" s="2" t="str">
        <f t="shared" si="16"/>
        <v>Depok</v>
      </c>
      <c r="G133" s="2" t="s">
        <v>98</v>
      </c>
      <c r="H133" s="2" t="str">
        <f t="shared" si="17"/>
        <v>Rangga Saputra</v>
      </c>
      <c r="I133" s="2" t="s">
        <v>146</v>
      </c>
      <c r="J133" s="2" t="str">
        <f t="shared" si="18"/>
        <v>Ahmad Wijaya</v>
      </c>
      <c r="K133" s="2" t="s">
        <v>99</v>
      </c>
      <c r="L133" s="2" t="s">
        <v>100</v>
      </c>
      <c r="M133" s="2">
        <v>1</v>
      </c>
      <c r="N133" s="3">
        <v>29800000</v>
      </c>
      <c r="O133" s="3">
        <v>1490000</v>
      </c>
      <c r="P133" s="3">
        <v>28310000</v>
      </c>
      <c r="Q133" s="3" t="str">
        <f t="shared" si="20"/>
        <v>Normal</v>
      </c>
      <c r="R133" s="2" t="s">
        <v>29</v>
      </c>
      <c r="S133" s="2" t="s">
        <v>22</v>
      </c>
      <c r="T133" s="2" t="s">
        <v>23</v>
      </c>
      <c r="U133">
        <f t="shared" si="19"/>
        <v>1</v>
      </c>
    </row>
    <row r="134" spans="1:21">
      <c r="A134" s="2" t="s">
        <v>338</v>
      </c>
      <c r="B134" s="2" t="s">
        <v>25</v>
      </c>
      <c r="C134" s="2" t="str">
        <f t="shared" si="14"/>
        <v>2026-07-16</v>
      </c>
      <c r="D134" s="5">
        <f t="shared" si="15"/>
        <v>46219</v>
      </c>
      <c r="E134" s="2" t="s">
        <v>85</v>
      </c>
      <c r="F134" s="2" t="str">
        <f t="shared" si="16"/>
        <v>Karawang</v>
      </c>
      <c r="G134" s="2" t="s">
        <v>168</v>
      </c>
      <c r="H134" s="2" t="str">
        <f t="shared" si="17"/>
        <v>Mira Anjani</v>
      </c>
      <c r="I134" s="2" t="s">
        <v>339</v>
      </c>
      <c r="J134" s="2" t="str">
        <f t="shared" si="18"/>
        <v>Oscar Anggraini</v>
      </c>
      <c r="K134" s="2" t="s">
        <v>99</v>
      </c>
      <c r="L134" s="2" t="s">
        <v>100</v>
      </c>
      <c r="M134" s="2">
        <v>1</v>
      </c>
      <c r="N134" s="3">
        <v>29800000</v>
      </c>
      <c r="O134" s="3">
        <v>0</v>
      </c>
      <c r="P134" s="3">
        <v>29800000</v>
      </c>
      <c r="Q134" s="3" t="str">
        <f t="shared" si="20"/>
        <v>Normal</v>
      </c>
      <c r="R134" s="2" t="s">
        <v>38</v>
      </c>
      <c r="S134" s="2" t="s">
        <v>22</v>
      </c>
      <c r="T134" s="2" t="s">
        <v>39</v>
      </c>
      <c r="U134">
        <f t="shared" si="19"/>
        <v>1</v>
      </c>
    </row>
    <row r="135" spans="1:21">
      <c r="A135" s="2" t="s">
        <v>340</v>
      </c>
      <c r="B135" s="2" t="s">
        <v>140</v>
      </c>
      <c r="C135" s="2" t="str">
        <f t="shared" si="14"/>
        <v>2026-07-19</v>
      </c>
      <c r="D135" s="5">
        <f t="shared" si="15"/>
        <v>46222</v>
      </c>
      <c r="E135" s="2" t="s">
        <v>48</v>
      </c>
      <c r="F135" s="2" t="str">
        <f t="shared" si="16"/>
        <v>Jakarta Selatan</v>
      </c>
      <c r="G135" s="2" t="s">
        <v>66</v>
      </c>
      <c r="H135" s="2" t="str">
        <f t="shared" si="17"/>
        <v>Puji Lestari</v>
      </c>
      <c r="I135" s="2" t="s">
        <v>341</v>
      </c>
      <c r="J135" s="2" t="str">
        <f t="shared" si="18"/>
        <v>Siska Saputra</v>
      </c>
      <c r="K135" s="2" t="s">
        <v>36</v>
      </c>
      <c r="L135" s="2" t="s">
        <v>37</v>
      </c>
      <c r="M135" s="2">
        <v>1</v>
      </c>
      <c r="N135" s="3">
        <v>22300000</v>
      </c>
      <c r="O135" s="3">
        <v>669000</v>
      </c>
      <c r="P135" s="3">
        <v>21631000</v>
      </c>
      <c r="Q135" s="3" t="str">
        <f t="shared" si="20"/>
        <v>Normal</v>
      </c>
      <c r="R135" s="2" t="s">
        <v>29</v>
      </c>
      <c r="S135" s="2" t="s">
        <v>22</v>
      </c>
      <c r="T135" s="2" t="s">
        <v>39</v>
      </c>
      <c r="U135">
        <f t="shared" si="19"/>
        <v>1</v>
      </c>
    </row>
    <row r="136" spans="1:21">
      <c r="A136" s="2" t="s">
        <v>342</v>
      </c>
      <c r="B136" s="2" t="s">
        <v>64</v>
      </c>
      <c r="C136" s="2" t="str">
        <f t="shared" ref="C136:C199" si="21">SUBSTITUTE(SUBSTITUTE(SUBSTITUTE(SUBSTITUTE(SUBSTITUTE(SUBSTITUTE(SUBSTITUTE(SUBSTITUTE(SUBSTITUTE(SUBSTITUTE(SUBSTITUTE(SUBSTITUTE(B136," Januari ","/01/")," Februari ","/02/")," Maret ","/03/")," April ","/04/")," Mei ","/05/")," Juni ","/06/")," Juli ","/07/")," Agustus ","/08/")," September ","/09/")," Oktober ","/10/")," November ","/11/")," Desember ","/12/")</f>
        <v>2026-07-13</v>
      </c>
      <c r="D136" s="5">
        <f t="shared" ref="D136:D199" si="22">IFERROR(DATE(VALUE(LEFT(C136,4)),VALUE(MID(C136,6,2)),VALUE(RIGHT(C136,2))),DATE(VALUE(RIGHT(C136,4)),VALUE(MID(C136,4,2)),VALUE(LEFT(C136,2))))</f>
        <v>46216</v>
      </c>
      <c r="E136" s="2" t="s">
        <v>48</v>
      </c>
      <c r="F136" s="2" t="str">
        <f t="shared" ref="F136:F199" si="23">PROPER(TRIM(SUBSTITUTE(SUBSTITUTE(E136,"Jaksel","Jakarta Selatan"),"Tangerang Kota","Tangerang")))</f>
        <v>Jakarta Selatan</v>
      </c>
      <c r="G136" s="2" t="s">
        <v>27</v>
      </c>
      <c r="H136" s="2" t="str">
        <f t="shared" ref="H136:H199" si="24">IF(G136="","Unknown",G136)</f>
        <v>Vino Bastian G.</v>
      </c>
      <c r="I136" s="2" t="s">
        <v>329</v>
      </c>
      <c r="J136" s="2" t="str">
        <f t="shared" ref="J136:J199" si="25">IF(I136="","Unknown",I136)</f>
        <v>Dewi Wijaya</v>
      </c>
      <c r="K136" s="2" t="s">
        <v>152</v>
      </c>
      <c r="L136" s="2" t="s">
        <v>153</v>
      </c>
      <c r="M136" s="2">
        <v>1</v>
      </c>
      <c r="N136" s="3">
        <v>27400000</v>
      </c>
      <c r="O136" s="3">
        <v>0</v>
      </c>
      <c r="P136" s="3">
        <v>0</v>
      </c>
      <c r="Q136" s="3" t="str">
        <f t="shared" si="20"/>
        <v>Batal/Refund</v>
      </c>
      <c r="R136" s="2" t="s">
        <v>38</v>
      </c>
      <c r="S136" s="2" t="s">
        <v>22</v>
      </c>
      <c r="T136" s="2" t="s">
        <v>30</v>
      </c>
      <c r="U136">
        <f t="shared" si="19"/>
        <v>1</v>
      </c>
    </row>
    <row r="137" spans="1:21">
      <c r="A137" s="2" t="s">
        <v>343</v>
      </c>
      <c r="B137" s="2" t="s">
        <v>57</v>
      </c>
      <c r="C137" s="2" t="str">
        <f t="shared" si="21"/>
        <v>2026-07-17</v>
      </c>
      <c r="D137" s="5">
        <f t="shared" si="22"/>
        <v>46220</v>
      </c>
      <c r="E137" s="2" t="s">
        <v>65</v>
      </c>
      <c r="F137" s="2" t="str">
        <f t="shared" si="23"/>
        <v>Bandung</v>
      </c>
      <c r="G137" s="2" t="s">
        <v>54</v>
      </c>
      <c r="H137" s="2" t="str">
        <f t="shared" si="24"/>
        <v>Hadi Santoso</v>
      </c>
      <c r="I137" s="2" t="s">
        <v>243</v>
      </c>
      <c r="J137" s="2" t="str">
        <f t="shared" si="25"/>
        <v>Rendi Pratama</v>
      </c>
      <c r="K137" s="2" t="s">
        <v>152</v>
      </c>
      <c r="L137" s="2" t="s">
        <v>153</v>
      </c>
      <c r="M137" s="2">
        <v>1</v>
      </c>
      <c r="N137" s="3">
        <v>27400000</v>
      </c>
      <c r="O137" s="3">
        <v>548000</v>
      </c>
      <c r="P137" s="3">
        <v>26852000</v>
      </c>
      <c r="Q137" s="3" t="str">
        <f t="shared" si="20"/>
        <v>Normal</v>
      </c>
      <c r="R137" s="2" t="s">
        <v>46</v>
      </c>
      <c r="S137" s="2" t="s">
        <v>82</v>
      </c>
      <c r="T137" s="2" t="s">
        <v>39</v>
      </c>
      <c r="U137">
        <f t="shared" si="19"/>
        <v>1</v>
      </c>
    </row>
    <row r="138" spans="1:21">
      <c r="A138" s="2" t="s">
        <v>344</v>
      </c>
      <c r="B138" s="2" t="s">
        <v>15</v>
      </c>
      <c r="C138" s="2" t="str">
        <f t="shared" si="21"/>
        <v>2026-07-14</v>
      </c>
      <c r="D138" s="5">
        <f t="shared" si="22"/>
        <v>46217</v>
      </c>
      <c r="E138" s="2" t="s">
        <v>33</v>
      </c>
      <c r="F138" s="2" t="str">
        <f t="shared" si="23"/>
        <v>Depok</v>
      </c>
      <c r="G138" s="2" t="s">
        <v>17</v>
      </c>
      <c r="H138" s="2" t="str">
        <f t="shared" si="24"/>
        <v>Taufik Hidayat</v>
      </c>
      <c r="I138" s="2" t="s">
        <v>345</v>
      </c>
      <c r="J138" s="2" t="str">
        <f t="shared" si="25"/>
        <v>Oscar Ramadhan</v>
      </c>
      <c r="K138" s="2" t="s">
        <v>19</v>
      </c>
      <c r="L138" s="2" t="s">
        <v>20</v>
      </c>
      <c r="M138" s="2">
        <v>1</v>
      </c>
      <c r="N138" s="3">
        <v>33500000</v>
      </c>
      <c r="O138" s="3">
        <v>1675000</v>
      </c>
      <c r="P138" s="3">
        <v>31825000</v>
      </c>
      <c r="Q138" s="3" t="str">
        <f t="shared" si="20"/>
        <v>Normal</v>
      </c>
      <c r="R138" s="2" t="s">
        <v>46</v>
      </c>
      <c r="S138" s="2" t="s">
        <v>22</v>
      </c>
      <c r="T138" s="2" t="s">
        <v>77</v>
      </c>
      <c r="U138">
        <f t="shared" si="19"/>
        <v>1</v>
      </c>
    </row>
    <row r="139" spans="1:21">
      <c r="A139" s="2" t="s">
        <v>346</v>
      </c>
      <c r="B139" s="2" t="s">
        <v>57</v>
      </c>
      <c r="C139" s="2" t="str">
        <f t="shared" si="21"/>
        <v>2026-07-17</v>
      </c>
      <c r="D139" s="5">
        <f t="shared" si="22"/>
        <v>46220</v>
      </c>
      <c r="E139" s="2" t="s">
        <v>33</v>
      </c>
      <c r="F139" s="2" t="str">
        <f t="shared" si="23"/>
        <v>Depok</v>
      </c>
      <c r="G139" s="2" t="s">
        <v>58</v>
      </c>
      <c r="H139" s="2" t="str">
        <f t="shared" si="24"/>
        <v>Umi Kalsum</v>
      </c>
      <c r="I139" s="2" t="s">
        <v>347</v>
      </c>
      <c r="J139" s="2" t="str">
        <f t="shared" si="25"/>
        <v>Fitri Lestari</v>
      </c>
      <c r="K139" s="2" t="s">
        <v>142</v>
      </c>
      <c r="L139" s="2" t="s">
        <v>143</v>
      </c>
      <c r="M139" s="2">
        <v>1</v>
      </c>
      <c r="N139" s="3">
        <v>18900000</v>
      </c>
      <c r="O139" s="3">
        <v>0</v>
      </c>
      <c r="P139" s="3">
        <v>18900000</v>
      </c>
      <c r="Q139" s="3" t="str">
        <f t="shared" si="20"/>
        <v>Normal</v>
      </c>
      <c r="R139" s="2" t="s">
        <v>46</v>
      </c>
      <c r="S139" s="2" t="s">
        <v>82</v>
      </c>
      <c r="T139" s="2" t="s">
        <v>77</v>
      </c>
      <c r="U139">
        <f t="shared" si="19"/>
        <v>1</v>
      </c>
    </row>
    <row r="140" spans="1:21">
      <c r="A140" s="2" t="s">
        <v>350</v>
      </c>
      <c r="B140" s="2" t="s">
        <v>25</v>
      </c>
      <c r="C140" s="2" t="str">
        <f t="shared" si="21"/>
        <v>2026-07-16</v>
      </c>
      <c r="D140" s="5">
        <f t="shared" si="22"/>
        <v>46219</v>
      </c>
      <c r="E140" s="2" t="s">
        <v>16</v>
      </c>
      <c r="F140" s="2" t="str">
        <f t="shared" si="23"/>
        <v>Cibubur</v>
      </c>
      <c r="G140" s="2" t="s">
        <v>126</v>
      </c>
      <c r="H140" s="2" t="str">
        <f t="shared" si="24"/>
        <v>Oki Setiawan</v>
      </c>
      <c r="I140" s="2" t="s">
        <v>351</v>
      </c>
      <c r="J140" s="2" t="str">
        <f t="shared" si="25"/>
        <v>Galih Pratama</v>
      </c>
      <c r="K140" s="2" t="s">
        <v>152</v>
      </c>
      <c r="L140" s="2" t="s">
        <v>153</v>
      </c>
      <c r="M140" s="2">
        <v>1</v>
      </c>
      <c r="N140" s="3">
        <v>27400000</v>
      </c>
      <c r="O140" s="3">
        <v>0</v>
      </c>
      <c r="P140" s="3">
        <v>27400000</v>
      </c>
      <c r="Q140" s="3" t="str">
        <f t="shared" si="20"/>
        <v>Normal</v>
      </c>
      <c r="R140" s="2" t="s">
        <v>29</v>
      </c>
      <c r="S140" s="2" t="s">
        <v>22</v>
      </c>
      <c r="T140" s="2" t="s">
        <v>77</v>
      </c>
      <c r="U140">
        <f t="shared" si="19"/>
        <v>1</v>
      </c>
    </row>
    <row r="141" spans="1:21">
      <c r="A141" s="2" t="s">
        <v>352</v>
      </c>
      <c r="B141" s="2" t="s">
        <v>84</v>
      </c>
      <c r="C141" s="2" t="str">
        <f t="shared" si="21"/>
        <v>2026-07-15</v>
      </c>
      <c r="D141" s="5">
        <f t="shared" si="22"/>
        <v>46218</v>
      </c>
      <c r="E141" s="2" t="s">
        <v>33</v>
      </c>
      <c r="F141" s="2" t="str">
        <f t="shared" si="23"/>
        <v>Depok</v>
      </c>
      <c r="G141" s="2" t="s">
        <v>49</v>
      </c>
      <c r="H141" s="2" t="str">
        <f t="shared" si="24"/>
        <v>Fajar Nugraha</v>
      </c>
      <c r="I141" s="2" t="s">
        <v>123</v>
      </c>
      <c r="J141" s="2" t="str">
        <f t="shared" si="25"/>
        <v>Citra Pratama</v>
      </c>
      <c r="K141" s="2" t="s">
        <v>19</v>
      </c>
      <c r="L141" s="2" t="s">
        <v>20</v>
      </c>
      <c r="M141" s="2">
        <v>1</v>
      </c>
      <c r="N141" s="3">
        <v>33500000</v>
      </c>
      <c r="O141" s="3">
        <v>670000</v>
      </c>
      <c r="P141" s="3">
        <v>32830000</v>
      </c>
      <c r="Q141" s="3" t="str">
        <f t="shared" si="20"/>
        <v>Normal</v>
      </c>
      <c r="R141" s="2" t="s">
        <v>21</v>
      </c>
      <c r="S141" s="2" t="s">
        <v>82</v>
      </c>
      <c r="T141" s="2" t="s">
        <v>77</v>
      </c>
      <c r="U141">
        <f t="shared" si="19"/>
        <v>1</v>
      </c>
    </row>
    <row r="142" spans="1:21">
      <c r="A142" s="2" t="s">
        <v>353</v>
      </c>
      <c r="B142" s="2" t="s">
        <v>167</v>
      </c>
      <c r="C142" s="2" t="str">
        <f t="shared" si="21"/>
        <v>19/07/2026</v>
      </c>
      <c r="D142" s="5">
        <f t="shared" si="22"/>
        <v>46222</v>
      </c>
      <c r="E142" s="2" t="s">
        <v>155</v>
      </c>
      <c r="F142" s="2" t="str">
        <f t="shared" si="23"/>
        <v>Tangerang</v>
      </c>
      <c r="G142" s="2" t="s">
        <v>242</v>
      </c>
      <c r="H142" s="2" t="str">
        <f t="shared" si="24"/>
        <v>Rudi Hartono</v>
      </c>
      <c r="I142" s="2" t="s">
        <v>223</v>
      </c>
      <c r="J142" s="2" t="str">
        <f t="shared" si="25"/>
        <v>Rendi Kusuma</v>
      </c>
      <c r="K142" s="2" t="s">
        <v>68</v>
      </c>
      <c r="L142" s="2" t="s">
        <v>69</v>
      </c>
      <c r="M142" s="2">
        <v>1</v>
      </c>
      <c r="N142" s="3">
        <v>17800000</v>
      </c>
      <c r="O142" s="3">
        <v>890000</v>
      </c>
      <c r="P142" s="3">
        <v>16910000</v>
      </c>
      <c r="Q142" s="3" t="str">
        <f t="shared" si="20"/>
        <v>Normal</v>
      </c>
      <c r="R142" s="2" t="s">
        <v>29</v>
      </c>
      <c r="S142" s="2" t="s">
        <v>22</v>
      </c>
      <c r="T142" s="2" t="s">
        <v>77</v>
      </c>
      <c r="U142">
        <f t="shared" si="19"/>
        <v>1</v>
      </c>
    </row>
    <row r="143" spans="1:21">
      <c r="A143" s="2" t="s">
        <v>354</v>
      </c>
      <c r="B143" s="2" t="s">
        <v>15</v>
      </c>
      <c r="C143" s="2" t="str">
        <f t="shared" si="21"/>
        <v>2026-07-14</v>
      </c>
      <c r="D143" s="5">
        <f t="shared" si="22"/>
        <v>46217</v>
      </c>
      <c r="E143" s="2" t="s">
        <v>85</v>
      </c>
      <c r="F143" s="2" t="str">
        <f t="shared" si="23"/>
        <v>Karawang</v>
      </c>
      <c r="G143" s="2" t="s">
        <v>66</v>
      </c>
      <c r="H143" s="2" t="str">
        <f t="shared" si="24"/>
        <v>Puji Lestari</v>
      </c>
      <c r="I143" s="2" t="s">
        <v>355</v>
      </c>
      <c r="J143" s="2" t="str">
        <f t="shared" si="25"/>
        <v>Galih Maharani</v>
      </c>
      <c r="K143" s="2" t="s">
        <v>19</v>
      </c>
      <c r="L143" s="2" t="s">
        <v>20</v>
      </c>
      <c r="M143" s="2">
        <v>1</v>
      </c>
      <c r="N143" s="3">
        <v>33500000</v>
      </c>
      <c r="O143" s="3">
        <v>0</v>
      </c>
      <c r="P143" s="3">
        <v>33500000</v>
      </c>
      <c r="Q143" s="3" t="str">
        <f t="shared" si="20"/>
        <v>Normal</v>
      </c>
      <c r="R143" s="2" t="s">
        <v>46</v>
      </c>
      <c r="S143" s="2" t="s">
        <v>22</v>
      </c>
      <c r="T143" s="2" t="s">
        <v>30</v>
      </c>
      <c r="U143">
        <f t="shared" si="19"/>
        <v>1</v>
      </c>
    </row>
    <row r="144" spans="1:21">
      <c r="A144" s="2" t="s">
        <v>356</v>
      </c>
      <c r="B144" s="2" t="s">
        <v>140</v>
      </c>
      <c r="C144" s="2" t="str">
        <f t="shared" si="21"/>
        <v>2026-07-19</v>
      </c>
      <c r="D144" s="5">
        <f t="shared" si="22"/>
        <v>46222</v>
      </c>
      <c r="E144" s="2" t="s">
        <v>48</v>
      </c>
      <c r="F144" s="2" t="str">
        <f t="shared" si="23"/>
        <v>Jakarta Selatan</v>
      </c>
      <c r="G144" s="2" t="s">
        <v>54</v>
      </c>
      <c r="H144" s="2" t="str">
        <f t="shared" si="24"/>
        <v>Hadi Santoso</v>
      </c>
      <c r="I144" s="2" t="s">
        <v>351</v>
      </c>
      <c r="J144" s="2" t="str">
        <f t="shared" si="25"/>
        <v>Galih Pratama</v>
      </c>
      <c r="K144" s="2" t="s">
        <v>99</v>
      </c>
      <c r="L144" s="2" t="s">
        <v>100</v>
      </c>
      <c r="M144" s="2">
        <v>1</v>
      </c>
      <c r="N144" s="3">
        <v>29800000</v>
      </c>
      <c r="O144" s="3">
        <v>894000</v>
      </c>
      <c r="P144" s="3">
        <v>28906000</v>
      </c>
      <c r="Q144" s="3" t="str">
        <f t="shared" si="20"/>
        <v>Normal</v>
      </c>
      <c r="R144" s="2" t="s">
        <v>29</v>
      </c>
      <c r="S144" s="2" t="s">
        <v>82</v>
      </c>
      <c r="T144" s="2" t="s">
        <v>39</v>
      </c>
      <c r="U144">
        <f t="shared" si="19"/>
        <v>1</v>
      </c>
    </row>
    <row r="145" spans="1:21">
      <c r="A145" s="2" t="s">
        <v>357</v>
      </c>
      <c r="B145" s="2" t="s">
        <v>57</v>
      </c>
      <c r="C145" s="2" t="str">
        <f t="shared" si="21"/>
        <v>2026-07-17</v>
      </c>
      <c r="D145" s="5">
        <f t="shared" si="22"/>
        <v>46220</v>
      </c>
      <c r="E145" s="2" t="s">
        <v>71</v>
      </c>
      <c r="F145" s="2" t="str">
        <f t="shared" si="23"/>
        <v>Bekasi</v>
      </c>
      <c r="G145" s="2" t="s">
        <v>54</v>
      </c>
      <c r="H145" s="2" t="str">
        <f t="shared" si="24"/>
        <v>Hadi Santoso</v>
      </c>
      <c r="I145" s="2" t="s">
        <v>95</v>
      </c>
      <c r="J145" s="2" t="str">
        <f t="shared" si="25"/>
        <v>Eko Ramadhan</v>
      </c>
      <c r="K145" s="2" t="s">
        <v>142</v>
      </c>
      <c r="L145" s="2" t="s">
        <v>143</v>
      </c>
      <c r="M145" s="2">
        <v>1</v>
      </c>
      <c r="N145" s="3">
        <v>18900000</v>
      </c>
      <c r="O145" s="3">
        <v>0</v>
      </c>
      <c r="P145" s="3">
        <v>18900000</v>
      </c>
      <c r="Q145" s="3" t="str">
        <f t="shared" si="20"/>
        <v>Normal</v>
      </c>
      <c r="R145" s="2" t="s">
        <v>46</v>
      </c>
      <c r="S145" s="2" t="s">
        <v>22</v>
      </c>
      <c r="T145" s="2" t="s">
        <v>77</v>
      </c>
      <c r="U145">
        <f t="shared" si="19"/>
        <v>1</v>
      </c>
    </row>
    <row r="146" spans="1:21">
      <c r="A146" s="2" t="s">
        <v>358</v>
      </c>
      <c r="B146" s="2" t="s">
        <v>64</v>
      </c>
      <c r="C146" s="2" t="str">
        <f t="shared" si="21"/>
        <v>2026-07-13</v>
      </c>
      <c r="D146" s="5">
        <f t="shared" si="22"/>
        <v>46216</v>
      </c>
      <c r="E146" s="2" t="s">
        <v>71</v>
      </c>
      <c r="F146" s="2" t="str">
        <f t="shared" si="23"/>
        <v>Bekasi</v>
      </c>
      <c r="G146" s="2" t="s">
        <v>34</v>
      </c>
      <c r="H146" s="2" t="str">
        <f t="shared" si="24"/>
        <v>Joko Widodo S.</v>
      </c>
      <c r="I146" s="2" t="s">
        <v>245</v>
      </c>
      <c r="J146" s="2" t="str">
        <f t="shared" si="25"/>
        <v>Fitri Firmansyah</v>
      </c>
      <c r="K146" s="2" t="s">
        <v>99</v>
      </c>
      <c r="L146" s="2" t="s">
        <v>100</v>
      </c>
      <c r="M146" s="2">
        <v>1</v>
      </c>
      <c r="N146" s="3">
        <v>29800000</v>
      </c>
      <c r="O146" s="3">
        <v>0</v>
      </c>
      <c r="P146" s="3">
        <v>29800000</v>
      </c>
      <c r="Q146" s="3" t="str">
        <f t="shared" si="20"/>
        <v>Normal</v>
      </c>
      <c r="R146" s="2" t="s">
        <v>29</v>
      </c>
      <c r="S146" s="2" t="s">
        <v>82</v>
      </c>
      <c r="T146" s="2" t="s">
        <v>30</v>
      </c>
      <c r="U146">
        <f t="shared" si="19"/>
        <v>1</v>
      </c>
    </row>
    <row r="147" spans="1:21">
      <c r="A147" s="2" t="s">
        <v>359</v>
      </c>
      <c r="B147" s="2" t="s">
        <v>108</v>
      </c>
      <c r="C147" s="2" t="str">
        <f t="shared" si="21"/>
        <v>2026-07-18</v>
      </c>
      <c r="D147" s="5">
        <f t="shared" si="22"/>
        <v>46221</v>
      </c>
      <c r="E147" s="2" t="s">
        <v>16</v>
      </c>
      <c r="F147" s="2" t="str">
        <f t="shared" si="23"/>
        <v>Cibubur</v>
      </c>
      <c r="G147" s="2" t="s">
        <v>17</v>
      </c>
      <c r="H147" s="2" t="str">
        <f t="shared" si="24"/>
        <v>Taufik Hidayat</v>
      </c>
      <c r="I147" s="2" t="s">
        <v>265</v>
      </c>
      <c r="J147" s="2" t="str">
        <f t="shared" si="25"/>
        <v>Nia Saputra</v>
      </c>
      <c r="K147" s="2" t="s">
        <v>60</v>
      </c>
      <c r="L147" s="2" t="s">
        <v>61</v>
      </c>
      <c r="M147" s="2">
        <v>1</v>
      </c>
      <c r="N147" s="3">
        <v>21500000</v>
      </c>
      <c r="O147" s="3">
        <v>1075000</v>
      </c>
      <c r="P147" s="3">
        <v>20425000</v>
      </c>
      <c r="Q147" s="3" t="str">
        <f t="shared" si="20"/>
        <v>Normal</v>
      </c>
      <c r="R147" s="2" t="s">
        <v>38</v>
      </c>
      <c r="S147" s="2" t="s">
        <v>22</v>
      </c>
      <c r="T147" s="2" t="s">
        <v>77</v>
      </c>
      <c r="U147">
        <f t="shared" si="19"/>
        <v>1</v>
      </c>
    </row>
    <row r="148" spans="1:21">
      <c r="A148" s="2" t="s">
        <v>360</v>
      </c>
      <c r="B148" s="2" t="s">
        <v>32</v>
      </c>
      <c r="C148" s="2" t="str">
        <f t="shared" si="21"/>
        <v>15/07/2026</v>
      </c>
      <c r="D148" s="5">
        <f t="shared" si="22"/>
        <v>46218</v>
      </c>
      <c r="E148" s="2" t="s">
        <v>71</v>
      </c>
      <c r="F148" s="2" t="str">
        <f t="shared" si="23"/>
        <v>Bekasi</v>
      </c>
      <c r="G148" s="2" t="s">
        <v>80</v>
      </c>
      <c r="H148" s="2" t="str">
        <f t="shared" si="24"/>
        <v>Kiki Amelia</v>
      </c>
      <c r="I148" s="2" t="s">
        <v>202</v>
      </c>
      <c r="J148" s="2" t="str">
        <f t="shared" si="25"/>
        <v>Citra Maharani</v>
      </c>
      <c r="K148" s="2" t="s">
        <v>99</v>
      </c>
      <c r="L148" s="2" t="s">
        <v>100</v>
      </c>
      <c r="M148" s="2">
        <v>1</v>
      </c>
      <c r="N148" s="3">
        <v>29800000</v>
      </c>
      <c r="O148" s="3">
        <v>0</v>
      </c>
      <c r="P148" s="3">
        <v>29800000</v>
      </c>
      <c r="Q148" s="3" t="str">
        <f t="shared" si="20"/>
        <v>Normal</v>
      </c>
      <c r="R148" s="2" t="s">
        <v>38</v>
      </c>
      <c r="S148" s="2" t="s">
        <v>22</v>
      </c>
      <c r="T148" s="2" t="s">
        <v>23</v>
      </c>
      <c r="U148">
        <f t="shared" si="19"/>
        <v>1</v>
      </c>
    </row>
    <row r="149" spans="1:21">
      <c r="A149" s="2" t="s">
        <v>361</v>
      </c>
      <c r="B149" s="2" t="s">
        <v>167</v>
      </c>
      <c r="C149" s="2" t="str">
        <f t="shared" si="21"/>
        <v>19/07/2026</v>
      </c>
      <c r="D149" s="5">
        <f t="shared" si="22"/>
        <v>46222</v>
      </c>
      <c r="E149" s="2" t="s">
        <v>362</v>
      </c>
      <c r="F149" s="2" t="str">
        <f t="shared" si="23"/>
        <v>Bekasi</v>
      </c>
      <c r="G149" s="2" t="s">
        <v>54</v>
      </c>
      <c r="H149" s="2" t="str">
        <f t="shared" si="24"/>
        <v>Hadi Santoso</v>
      </c>
      <c r="I149" s="2" t="s">
        <v>120</v>
      </c>
      <c r="J149" s="2" t="str">
        <f t="shared" si="25"/>
        <v>Oscar Hidayat</v>
      </c>
      <c r="K149" s="2" t="s">
        <v>68</v>
      </c>
      <c r="L149" s="2" t="s">
        <v>69</v>
      </c>
      <c r="M149" s="2">
        <v>1</v>
      </c>
      <c r="N149" s="3">
        <v>17800000</v>
      </c>
      <c r="O149" s="3">
        <v>178000</v>
      </c>
      <c r="P149" s="3">
        <v>17622000</v>
      </c>
      <c r="Q149" s="3" t="str">
        <f t="shared" si="20"/>
        <v>Normal</v>
      </c>
      <c r="R149" s="2" t="s">
        <v>62</v>
      </c>
      <c r="S149" s="2" t="s">
        <v>22</v>
      </c>
      <c r="T149" s="2" t="s">
        <v>39</v>
      </c>
      <c r="U149">
        <f t="shared" si="19"/>
        <v>1</v>
      </c>
    </row>
    <row r="150" spans="1:21">
      <c r="A150" s="2" t="s">
        <v>363</v>
      </c>
      <c r="B150" s="2" t="s">
        <v>108</v>
      </c>
      <c r="C150" s="2" t="str">
        <f t="shared" si="21"/>
        <v>2026-07-18</v>
      </c>
      <c r="D150" s="5">
        <f t="shared" si="22"/>
        <v>46221</v>
      </c>
      <c r="E150" s="2" t="s">
        <v>16</v>
      </c>
      <c r="F150" s="2" t="str">
        <f t="shared" si="23"/>
        <v>Cibubur</v>
      </c>
      <c r="G150" s="2" t="s">
        <v>49</v>
      </c>
      <c r="H150" s="2" t="str">
        <f t="shared" si="24"/>
        <v>Fajar Nugraha</v>
      </c>
      <c r="I150" s="2" t="s">
        <v>245</v>
      </c>
      <c r="J150" s="2" t="str">
        <f t="shared" si="25"/>
        <v>Fitri Firmansyah</v>
      </c>
      <c r="K150" s="2" t="s">
        <v>19</v>
      </c>
      <c r="L150" s="2" t="s">
        <v>20</v>
      </c>
      <c r="M150" s="2">
        <v>1</v>
      </c>
      <c r="N150" s="3">
        <v>33500000</v>
      </c>
      <c r="O150" s="3">
        <v>335000</v>
      </c>
      <c r="P150" s="3">
        <v>33165000</v>
      </c>
      <c r="Q150" s="3" t="str">
        <f t="shared" si="20"/>
        <v>Normal</v>
      </c>
      <c r="R150" s="2" t="s">
        <v>62</v>
      </c>
      <c r="S150" s="2" t="s">
        <v>22</v>
      </c>
      <c r="T150" s="2" t="s">
        <v>23</v>
      </c>
      <c r="U150">
        <f t="shared" si="19"/>
        <v>1</v>
      </c>
    </row>
    <row r="151" spans="1:21">
      <c r="A151" s="2" t="s">
        <v>364</v>
      </c>
      <c r="B151" s="2" t="s">
        <v>162</v>
      </c>
      <c r="C151" s="2" t="str">
        <f t="shared" si="21"/>
        <v>18/07/2026</v>
      </c>
      <c r="D151" s="5">
        <f t="shared" si="22"/>
        <v>46221</v>
      </c>
      <c r="E151" s="2" t="s">
        <v>48</v>
      </c>
      <c r="F151" s="2" t="str">
        <f t="shared" si="23"/>
        <v>Jakarta Selatan</v>
      </c>
      <c r="G151" s="2" t="s">
        <v>66</v>
      </c>
      <c r="H151" s="2" t="str">
        <f t="shared" si="24"/>
        <v>Puji Lestari</v>
      </c>
      <c r="I151" s="2" t="s">
        <v>50</v>
      </c>
      <c r="J151" s="2" t="str">
        <f t="shared" si="25"/>
        <v>Putra Saputra</v>
      </c>
      <c r="K151" s="2" t="s">
        <v>152</v>
      </c>
      <c r="L151" s="2" t="s">
        <v>153</v>
      </c>
      <c r="M151" s="2">
        <v>1</v>
      </c>
      <c r="N151" s="3">
        <v>27400000</v>
      </c>
      <c r="O151" s="3">
        <v>0</v>
      </c>
      <c r="P151" s="3">
        <v>27400000</v>
      </c>
      <c r="Q151" s="3" t="str">
        <f t="shared" si="20"/>
        <v>Normal</v>
      </c>
      <c r="R151" s="2" t="s">
        <v>38</v>
      </c>
      <c r="S151" s="2" t="s">
        <v>22</v>
      </c>
      <c r="T151" s="2" t="s">
        <v>39</v>
      </c>
      <c r="U151">
        <f t="shared" si="19"/>
        <v>1</v>
      </c>
    </row>
    <row r="152" spans="1:21">
      <c r="A152" s="2" t="s">
        <v>365</v>
      </c>
      <c r="B152" s="2" t="s">
        <v>64</v>
      </c>
      <c r="C152" s="2" t="str">
        <f t="shared" si="21"/>
        <v>2026-07-13</v>
      </c>
      <c r="D152" s="5">
        <f t="shared" si="22"/>
        <v>46216</v>
      </c>
      <c r="E152" s="2" t="s">
        <v>16</v>
      </c>
      <c r="F152" s="2" t="str">
        <f t="shared" si="23"/>
        <v>Cibubur</v>
      </c>
      <c r="G152" s="2"/>
      <c r="H152" s="2" t="str">
        <f t="shared" si="24"/>
        <v>Unknown</v>
      </c>
      <c r="I152" s="2" t="s">
        <v>243</v>
      </c>
      <c r="J152" s="2" t="str">
        <f t="shared" si="25"/>
        <v>Rendi Pratama</v>
      </c>
      <c r="K152" s="2" t="s">
        <v>152</v>
      </c>
      <c r="L152" s="2" t="s">
        <v>153</v>
      </c>
      <c r="M152" s="2">
        <v>1</v>
      </c>
      <c r="N152" s="3">
        <v>27400000</v>
      </c>
      <c r="O152" s="3">
        <v>274000</v>
      </c>
      <c r="P152" s="3">
        <v>27126000</v>
      </c>
      <c r="Q152" s="3" t="str">
        <f t="shared" si="20"/>
        <v>Normal</v>
      </c>
      <c r="R152" s="2" t="s">
        <v>29</v>
      </c>
      <c r="S152" s="2" t="s">
        <v>22</v>
      </c>
      <c r="T152" s="2" t="s">
        <v>39</v>
      </c>
      <c r="U152">
        <f t="shared" si="19"/>
        <v>1</v>
      </c>
    </row>
    <row r="153" spans="1:21">
      <c r="A153" s="2" t="s">
        <v>366</v>
      </c>
      <c r="B153" s="2" t="s">
        <v>64</v>
      </c>
      <c r="C153" s="2" t="str">
        <f t="shared" si="21"/>
        <v>2026-07-13</v>
      </c>
      <c r="D153" s="5">
        <f t="shared" si="22"/>
        <v>46216</v>
      </c>
      <c r="E153" s="2" t="s">
        <v>26</v>
      </c>
      <c r="F153" s="2" t="str">
        <f t="shared" si="23"/>
        <v>Sukabumi</v>
      </c>
      <c r="G153" s="2" t="s">
        <v>145</v>
      </c>
      <c r="H153" s="2" t="str">
        <f t="shared" si="24"/>
        <v>Doni Saputra</v>
      </c>
      <c r="I153" s="2" t="s">
        <v>286</v>
      </c>
      <c r="J153" s="2" t="str">
        <f t="shared" si="25"/>
        <v>Tono Hidayat</v>
      </c>
      <c r="K153" s="2" t="s">
        <v>51</v>
      </c>
      <c r="L153" s="2" t="s">
        <v>52</v>
      </c>
      <c r="M153" s="2">
        <v>2</v>
      </c>
      <c r="N153" s="3">
        <v>41000000</v>
      </c>
      <c r="O153" s="3">
        <v>4100000</v>
      </c>
      <c r="P153" s="3">
        <v>77900000</v>
      </c>
      <c r="Q153" s="3" t="str">
        <f t="shared" si="20"/>
        <v>Normal</v>
      </c>
      <c r="R153" s="2" t="s">
        <v>62</v>
      </c>
      <c r="S153" s="2" t="s">
        <v>87</v>
      </c>
      <c r="T153" s="2" t="s">
        <v>30</v>
      </c>
      <c r="U153">
        <f t="shared" si="19"/>
        <v>1</v>
      </c>
    </row>
    <row r="154" spans="1:21">
      <c r="A154" s="2" t="s">
        <v>367</v>
      </c>
      <c r="B154" s="2" t="s">
        <v>189</v>
      </c>
      <c r="C154" s="2" t="str">
        <f t="shared" si="21"/>
        <v>14/07/2026</v>
      </c>
      <c r="D154" s="5">
        <f t="shared" si="22"/>
        <v>46217</v>
      </c>
      <c r="E154" s="2" t="s">
        <v>182</v>
      </c>
      <c r="F154" s="2" t="str">
        <f t="shared" si="23"/>
        <v>Bogor</v>
      </c>
      <c r="G154" s="2" t="s">
        <v>34</v>
      </c>
      <c r="H154" s="2" t="str">
        <f t="shared" si="24"/>
        <v>Joko Widodo S.</v>
      </c>
      <c r="I154" s="2" t="s">
        <v>368</v>
      </c>
      <c r="J154" s="2" t="str">
        <f t="shared" si="25"/>
        <v>Citra Saputra</v>
      </c>
      <c r="K154" s="2" t="s">
        <v>152</v>
      </c>
      <c r="L154" s="2" t="s">
        <v>153</v>
      </c>
      <c r="M154" s="2">
        <v>1</v>
      </c>
      <c r="N154" s="3">
        <v>27400000</v>
      </c>
      <c r="O154" s="3">
        <v>1370000</v>
      </c>
      <c r="P154" s="3">
        <v>26030000</v>
      </c>
      <c r="Q154" s="3" t="str">
        <f t="shared" si="20"/>
        <v>Normal</v>
      </c>
      <c r="R154" s="2" t="s">
        <v>62</v>
      </c>
      <c r="S154" s="2" t="s">
        <v>22</v>
      </c>
      <c r="T154" s="2" t="s">
        <v>23</v>
      </c>
      <c r="U154">
        <f t="shared" si="19"/>
        <v>1</v>
      </c>
    </row>
    <row r="155" spans="1:21">
      <c r="A155" s="2" t="s">
        <v>369</v>
      </c>
      <c r="B155" s="2" t="s">
        <v>25</v>
      </c>
      <c r="C155" s="2" t="str">
        <f t="shared" si="21"/>
        <v>2026-07-16</v>
      </c>
      <c r="D155" s="5">
        <f t="shared" si="22"/>
        <v>46219</v>
      </c>
      <c r="E155" s="2" t="s">
        <v>97</v>
      </c>
      <c r="F155" s="2" t="str">
        <f t="shared" si="23"/>
        <v>Serang</v>
      </c>
      <c r="G155" s="2" t="s">
        <v>58</v>
      </c>
      <c r="H155" s="2" t="str">
        <f t="shared" si="24"/>
        <v>Umi Kalsum</v>
      </c>
      <c r="I155" s="2" t="s">
        <v>370</v>
      </c>
      <c r="J155" s="2" t="str">
        <f t="shared" si="25"/>
        <v>Fitri Hidayat</v>
      </c>
      <c r="K155" s="2" t="s">
        <v>19</v>
      </c>
      <c r="L155" s="2" t="s">
        <v>20</v>
      </c>
      <c r="M155" s="2">
        <v>1</v>
      </c>
      <c r="N155" s="3">
        <v>33500000</v>
      </c>
      <c r="O155" s="3">
        <v>335000</v>
      </c>
      <c r="P155" s="3">
        <v>33165000</v>
      </c>
      <c r="Q155" s="3" t="str">
        <f t="shared" si="20"/>
        <v>Normal</v>
      </c>
      <c r="R155" s="2" t="s">
        <v>21</v>
      </c>
      <c r="S155" s="2" t="s">
        <v>22</v>
      </c>
      <c r="T155" s="2" t="s">
        <v>77</v>
      </c>
      <c r="U155">
        <f t="shared" si="19"/>
        <v>1</v>
      </c>
    </row>
    <row r="156" spans="1:21">
      <c r="A156" s="2" t="s">
        <v>371</v>
      </c>
      <c r="B156" s="2" t="s">
        <v>64</v>
      </c>
      <c r="C156" s="2" t="str">
        <f t="shared" si="21"/>
        <v>2026-07-13</v>
      </c>
      <c r="D156" s="5">
        <f t="shared" si="22"/>
        <v>46216</v>
      </c>
      <c r="E156" s="2" t="s">
        <v>26</v>
      </c>
      <c r="F156" s="2" t="str">
        <f t="shared" si="23"/>
        <v>Sukabumi</v>
      </c>
      <c r="G156" s="2" t="s">
        <v>98</v>
      </c>
      <c r="H156" s="2" t="str">
        <f t="shared" si="24"/>
        <v>Rangga Saputra</v>
      </c>
      <c r="I156" s="2" t="s">
        <v>372</v>
      </c>
      <c r="J156" s="2" t="str">
        <f t="shared" si="25"/>
        <v>Citra Anggraini</v>
      </c>
      <c r="K156" s="2" t="s">
        <v>44</v>
      </c>
      <c r="L156" s="2" t="s">
        <v>45</v>
      </c>
      <c r="M156" s="2">
        <v>1</v>
      </c>
      <c r="N156" s="3">
        <v>24600000</v>
      </c>
      <c r="O156" s="3">
        <v>0</v>
      </c>
      <c r="P156" s="3">
        <v>24600000</v>
      </c>
      <c r="Q156" s="3" t="str">
        <f t="shared" si="20"/>
        <v>Normal</v>
      </c>
      <c r="R156" s="2" t="s">
        <v>21</v>
      </c>
      <c r="S156" s="2" t="s">
        <v>22</v>
      </c>
      <c r="T156" s="2" t="s">
        <v>23</v>
      </c>
      <c r="U156">
        <f t="shared" si="19"/>
        <v>1</v>
      </c>
    </row>
    <row r="157" spans="1:21">
      <c r="A157" s="2" t="s">
        <v>373</v>
      </c>
      <c r="B157" s="2" t="s">
        <v>57</v>
      </c>
      <c r="C157" s="2" t="str">
        <f t="shared" si="21"/>
        <v>2026-07-17</v>
      </c>
      <c r="D157" s="5">
        <f t="shared" si="22"/>
        <v>46220</v>
      </c>
      <c r="E157" s="2" t="s">
        <v>182</v>
      </c>
      <c r="F157" s="2" t="str">
        <f t="shared" si="23"/>
        <v>Bogor</v>
      </c>
      <c r="G157" s="2" t="s">
        <v>54</v>
      </c>
      <c r="H157" s="2" t="str">
        <f t="shared" si="24"/>
        <v>Hadi Santoso</v>
      </c>
      <c r="I157" s="2" t="s">
        <v>374</v>
      </c>
      <c r="J157" s="2" t="str">
        <f t="shared" si="25"/>
        <v>Hana Ramadhan</v>
      </c>
      <c r="K157" s="2" t="s">
        <v>60</v>
      </c>
      <c r="L157" s="2" t="s">
        <v>61</v>
      </c>
      <c r="M157" s="2">
        <v>1</v>
      </c>
      <c r="N157" s="3">
        <v>21500000</v>
      </c>
      <c r="O157" s="3">
        <v>1075000</v>
      </c>
      <c r="P157" s="3">
        <v>20425000</v>
      </c>
      <c r="Q157" s="3" t="str">
        <f t="shared" si="20"/>
        <v>Normal</v>
      </c>
      <c r="R157" s="2" t="s">
        <v>62</v>
      </c>
      <c r="S157" s="2" t="s">
        <v>22</v>
      </c>
      <c r="T157" s="2" t="s">
        <v>77</v>
      </c>
      <c r="U157">
        <f t="shared" si="19"/>
        <v>1</v>
      </c>
    </row>
    <row r="158" spans="1:21">
      <c r="A158" s="2" t="s">
        <v>375</v>
      </c>
      <c r="B158" s="2" t="s">
        <v>15</v>
      </c>
      <c r="C158" s="2" t="str">
        <f t="shared" si="21"/>
        <v>2026-07-14</v>
      </c>
      <c r="D158" s="5">
        <f t="shared" si="22"/>
        <v>46217</v>
      </c>
      <c r="E158" s="2" t="s">
        <v>33</v>
      </c>
      <c r="F158" s="2" t="str">
        <f t="shared" si="23"/>
        <v>Depok</v>
      </c>
      <c r="G158" s="2" t="s">
        <v>75</v>
      </c>
      <c r="H158" s="2" t="str">
        <f t="shared" si="24"/>
        <v>Eka Putri</v>
      </c>
      <c r="I158" s="2" t="s">
        <v>221</v>
      </c>
      <c r="J158" s="2" t="str">
        <f t="shared" si="25"/>
        <v>Kevin Wijaya</v>
      </c>
      <c r="K158" s="2" t="s">
        <v>99</v>
      </c>
      <c r="L158" s="2" t="s">
        <v>100</v>
      </c>
      <c r="M158" s="2">
        <v>1</v>
      </c>
      <c r="N158" s="3">
        <v>29800000</v>
      </c>
      <c r="O158" s="3">
        <v>298000</v>
      </c>
      <c r="P158" s="3">
        <v>29502000</v>
      </c>
      <c r="Q158" s="3" t="str">
        <f t="shared" si="20"/>
        <v>Normal</v>
      </c>
      <c r="R158" s="2" t="s">
        <v>46</v>
      </c>
      <c r="S158" s="2" t="s">
        <v>87</v>
      </c>
      <c r="T158" s="2" t="s">
        <v>30</v>
      </c>
      <c r="U158">
        <f t="shared" si="19"/>
        <v>1</v>
      </c>
    </row>
    <row r="159" spans="1:21">
      <c r="A159" s="2" t="s">
        <v>376</v>
      </c>
      <c r="B159" s="2" t="s">
        <v>108</v>
      </c>
      <c r="C159" s="2" t="str">
        <f t="shared" si="21"/>
        <v>2026-07-18</v>
      </c>
      <c r="D159" s="5">
        <f t="shared" si="22"/>
        <v>46221</v>
      </c>
      <c r="E159" s="2" t="s">
        <v>16</v>
      </c>
      <c r="F159" s="2" t="str">
        <f t="shared" si="23"/>
        <v>Cibubur</v>
      </c>
      <c r="G159" s="2" t="s">
        <v>34</v>
      </c>
      <c r="H159" s="2" t="str">
        <f t="shared" si="24"/>
        <v>Joko Widodo S.</v>
      </c>
      <c r="I159" s="2" t="s">
        <v>289</v>
      </c>
      <c r="J159" s="2" t="str">
        <f t="shared" si="25"/>
        <v>Budi Lestari</v>
      </c>
      <c r="K159" s="2" t="s">
        <v>19</v>
      </c>
      <c r="L159" s="2" t="s">
        <v>20</v>
      </c>
      <c r="M159" s="2">
        <v>1</v>
      </c>
      <c r="N159" s="3">
        <v>33500000</v>
      </c>
      <c r="O159" s="3">
        <v>0</v>
      </c>
      <c r="P159" s="3">
        <v>33500000</v>
      </c>
      <c r="Q159" s="3" t="str">
        <f t="shared" si="20"/>
        <v>Normal</v>
      </c>
      <c r="R159" s="2" t="s">
        <v>21</v>
      </c>
      <c r="S159" s="2" t="s">
        <v>22</v>
      </c>
      <c r="T159" s="2" t="s">
        <v>77</v>
      </c>
      <c r="U159">
        <f t="shared" si="19"/>
        <v>1</v>
      </c>
    </row>
    <row r="160" spans="1:21">
      <c r="A160" s="2" t="s">
        <v>377</v>
      </c>
      <c r="B160" s="2" t="s">
        <v>57</v>
      </c>
      <c r="C160" s="2" t="str">
        <f t="shared" si="21"/>
        <v>2026-07-17</v>
      </c>
      <c r="D160" s="5">
        <f t="shared" si="22"/>
        <v>46220</v>
      </c>
      <c r="E160" s="2" t="s">
        <v>85</v>
      </c>
      <c r="F160" s="2" t="str">
        <f t="shared" si="23"/>
        <v>Karawang</v>
      </c>
      <c r="G160" s="2"/>
      <c r="H160" s="2" t="str">
        <f t="shared" si="24"/>
        <v>Unknown</v>
      </c>
      <c r="I160" s="2" t="s">
        <v>50</v>
      </c>
      <c r="J160" s="2" t="str">
        <f t="shared" si="25"/>
        <v>Putra Saputra</v>
      </c>
      <c r="K160" s="2" t="s">
        <v>19</v>
      </c>
      <c r="L160" s="2" t="s">
        <v>20</v>
      </c>
      <c r="M160" s="2">
        <v>1</v>
      </c>
      <c r="N160" s="3">
        <v>33500000</v>
      </c>
      <c r="O160" s="3">
        <v>0</v>
      </c>
      <c r="P160" s="3">
        <v>33500000</v>
      </c>
      <c r="Q160" s="3" t="str">
        <f t="shared" si="20"/>
        <v>Normal</v>
      </c>
      <c r="R160" s="2" t="s">
        <v>62</v>
      </c>
      <c r="S160" s="2" t="s">
        <v>22</v>
      </c>
      <c r="T160" s="2" t="s">
        <v>30</v>
      </c>
      <c r="U160">
        <f t="shared" si="19"/>
        <v>1</v>
      </c>
    </row>
    <row r="161" spans="1:21">
      <c r="A161" s="2" t="s">
        <v>378</v>
      </c>
      <c r="B161" s="2" t="s">
        <v>15</v>
      </c>
      <c r="C161" s="2" t="str">
        <f t="shared" si="21"/>
        <v>2026-07-14</v>
      </c>
      <c r="D161" s="5">
        <f t="shared" si="22"/>
        <v>46217</v>
      </c>
      <c r="E161" s="2" t="s">
        <v>155</v>
      </c>
      <c r="F161" s="2" t="str">
        <f t="shared" si="23"/>
        <v>Tangerang</v>
      </c>
      <c r="G161" s="2" t="s">
        <v>130</v>
      </c>
      <c r="H161" s="2" t="str">
        <f t="shared" si="24"/>
        <v>Indah Permata</v>
      </c>
      <c r="I161" s="2" t="s">
        <v>379</v>
      </c>
      <c r="J161" s="2" t="str">
        <f t="shared" si="25"/>
        <v>Qori Anggraini</v>
      </c>
      <c r="K161" s="2" t="s">
        <v>19</v>
      </c>
      <c r="L161" s="2" t="s">
        <v>20</v>
      </c>
      <c r="M161" s="2">
        <v>1</v>
      </c>
      <c r="N161" s="3">
        <v>33500000</v>
      </c>
      <c r="O161" s="3">
        <v>0</v>
      </c>
      <c r="P161" s="3">
        <v>33500000</v>
      </c>
      <c r="Q161" s="3" t="str">
        <f t="shared" si="20"/>
        <v>Normal</v>
      </c>
      <c r="R161" s="2" t="s">
        <v>21</v>
      </c>
      <c r="S161" s="2" t="s">
        <v>22</v>
      </c>
      <c r="T161" s="2" t="s">
        <v>39</v>
      </c>
      <c r="U161">
        <f t="shared" si="19"/>
        <v>1</v>
      </c>
    </row>
    <row r="162" spans="1:21">
      <c r="A162" s="2" t="s">
        <v>380</v>
      </c>
      <c r="B162" s="2" t="s">
        <v>189</v>
      </c>
      <c r="C162" s="2" t="str">
        <f t="shared" si="21"/>
        <v>14/07/2026</v>
      </c>
      <c r="D162" s="5">
        <f t="shared" si="22"/>
        <v>46217</v>
      </c>
      <c r="E162" s="2" t="s">
        <v>212</v>
      </c>
      <c r="F162" s="2" t="str">
        <f t="shared" si="23"/>
        <v>Tangerang</v>
      </c>
      <c r="G162" s="2" t="s">
        <v>66</v>
      </c>
      <c r="H162" s="2" t="str">
        <f t="shared" si="24"/>
        <v>Puji Lestari</v>
      </c>
      <c r="I162" s="2" t="s">
        <v>381</v>
      </c>
      <c r="J162" s="2" t="str">
        <f t="shared" si="25"/>
        <v>Jihan Pratama</v>
      </c>
      <c r="K162" s="2" t="s">
        <v>51</v>
      </c>
      <c r="L162" s="2" t="s">
        <v>52</v>
      </c>
      <c r="M162" s="2">
        <v>1</v>
      </c>
      <c r="N162" s="3">
        <v>41000000</v>
      </c>
      <c r="O162" s="3">
        <v>2050000</v>
      </c>
      <c r="P162" s="3">
        <v>38950000</v>
      </c>
      <c r="Q162" s="3" t="str">
        <f t="shared" si="20"/>
        <v>Normal</v>
      </c>
      <c r="R162" s="2" t="s">
        <v>46</v>
      </c>
      <c r="S162" s="2" t="s">
        <v>22</v>
      </c>
      <c r="T162" s="2" t="s">
        <v>23</v>
      </c>
      <c r="U162">
        <f t="shared" si="19"/>
        <v>1</v>
      </c>
    </row>
    <row r="163" spans="1:21">
      <c r="A163" s="2" t="s">
        <v>382</v>
      </c>
      <c r="B163" s="2" t="s">
        <v>102</v>
      </c>
      <c r="C163" s="2" t="str">
        <f t="shared" si="21"/>
        <v>18/07/2026</v>
      </c>
      <c r="D163" s="5">
        <f t="shared" si="22"/>
        <v>46221</v>
      </c>
      <c r="E163" s="2" t="s">
        <v>112</v>
      </c>
      <c r="F163" s="2" t="str">
        <f t="shared" si="23"/>
        <v>Jakarta Timur</v>
      </c>
      <c r="G163" s="2" t="s">
        <v>75</v>
      </c>
      <c r="H163" s="2" t="str">
        <f t="shared" si="24"/>
        <v>Eka Putri</v>
      </c>
      <c r="I163" s="2" t="s">
        <v>43</v>
      </c>
      <c r="J163" s="2" t="str">
        <f t="shared" si="25"/>
        <v>Hana Anggraini</v>
      </c>
      <c r="K163" s="2" t="s">
        <v>19</v>
      </c>
      <c r="L163" s="2" t="s">
        <v>20</v>
      </c>
      <c r="M163" s="2">
        <v>1</v>
      </c>
      <c r="N163" s="3">
        <v>33500000</v>
      </c>
      <c r="O163" s="3">
        <v>1005000</v>
      </c>
      <c r="P163" s="3">
        <v>32495000</v>
      </c>
      <c r="Q163" s="3" t="str">
        <f t="shared" si="20"/>
        <v>Normal</v>
      </c>
      <c r="R163" s="2" t="s">
        <v>38</v>
      </c>
      <c r="S163" s="2" t="s">
        <v>22</v>
      </c>
      <c r="T163" s="2" t="s">
        <v>39</v>
      </c>
      <c r="U163">
        <f t="shared" si="19"/>
        <v>1</v>
      </c>
    </row>
    <row r="164" spans="1:21">
      <c r="A164" s="2" t="s">
        <v>383</v>
      </c>
      <c r="B164" s="2" t="s">
        <v>15</v>
      </c>
      <c r="C164" s="2" t="str">
        <f t="shared" si="21"/>
        <v>2026-07-14</v>
      </c>
      <c r="D164" s="5">
        <f t="shared" si="22"/>
        <v>46217</v>
      </c>
      <c r="E164" s="2" t="s">
        <v>97</v>
      </c>
      <c r="F164" s="2" t="str">
        <f t="shared" si="23"/>
        <v>Serang</v>
      </c>
      <c r="G164" s="2" t="s">
        <v>126</v>
      </c>
      <c r="H164" s="2" t="str">
        <f t="shared" si="24"/>
        <v>Oki Setiawan</v>
      </c>
      <c r="I164" s="2" t="s">
        <v>103</v>
      </c>
      <c r="J164" s="2" t="str">
        <f t="shared" si="25"/>
        <v>Qori Lestari</v>
      </c>
      <c r="K164" s="2" t="s">
        <v>68</v>
      </c>
      <c r="L164" s="2" t="s">
        <v>69</v>
      </c>
      <c r="M164" s="2">
        <v>1</v>
      </c>
      <c r="N164" s="3">
        <v>17800000</v>
      </c>
      <c r="O164" s="3">
        <v>0</v>
      </c>
      <c r="P164" s="3">
        <v>17800000</v>
      </c>
      <c r="Q164" s="3" t="str">
        <f t="shared" si="20"/>
        <v>Normal</v>
      </c>
      <c r="R164" s="2" t="s">
        <v>29</v>
      </c>
      <c r="S164" s="2" t="s">
        <v>22</v>
      </c>
      <c r="T164" s="2" t="s">
        <v>23</v>
      </c>
      <c r="U164">
        <f t="shared" si="19"/>
        <v>1</v>
      </c>
    </row>
    <row r="165" spans="1:21">
      <c r="A165" s="2" t="s">
        <v>384</v>
      </c>
      <c r="B165" s="2" t="s">
        <v>25</v>
      </c>
      <c r="C165" s="2" t="str">
        <f t="shared" si="21"/>
        <v>2026-07-16</v>
      </c>
      <c r="D165" s="5">
        <f t="shared" si="22"/>
        <v>46219</v>
      </c>
      <c r="E165" s="2" t="s">
        <v>65</v>
      </c>
      <c r="F165" s="2" t="str">
        <f t="shared" si="23"/>
        <v>Bandung</v>
      </c>
      <c r="G165" s="2" t="s">
        <v>42</v>
      </c>
      <c r="H165" s="2" t="str">
        <f t="shared" si="24"/>
        <v>Lina Marlina</v>
      </c>
      <c r="I165" s="2" t="s">
        <v>169</v>
      </c>
      <c r="J165" s="2" t="str">
        <f t="shared" si="25"/>
        <v>Budi Ramadhan</v>
      </c>
      <c r="K165" s="2" t="s">
        <v>19</v>
      </c>
      <c r="L165" s="2" t="s">
        <v>20</v>
      </c>
      <c r="M165" s="2">
        <v>1</v>
      </c>
      <c r="N165" s="3">
        <v>33500000</v>
      </c>
      <c r="O165" s="3">
        <v>670000</v>
      </c>
      <c r="P165" s="3">
        <v>32830000</v>
      </c>
      <c r="Q165" s="3" t="str">
        <f t="shared" si="20"/>
        <v>Normal</v>
      </c>
      <c r="R165" s="2" t="s">
        <v>46</v>
      </c>
      <c r="S165" s="2" t="s">
        <v>22</v>
      </c>
      <c r="T165" s="2" t="s">
        <v>39</v>
      </c>
      <c r="U165">
        <f t="shared" si="19"/>
        <v>1</v>
      </c>
    </row>
    <row r="166" spans="1:21">
      <c r="A166" s="2" t="s">
        <v>385</v>
      </c>
      <c r="B166" s="2" t="s">
        <v>84</v>
      </c>
      <c r="C166" s="2" t="str">
        <f t="shared" si="21"/>
        <v>2026-07-15</v>
      </c>
      <c r="D166" s="5">
        <f t="shared" si="22"/>
        <v>46218</v>
      </c>
      <c r="E166" s="2" t="s">
        <v>85</v>
      </c>
      <c r="F166" s="2" t="str">
        <f t="shared" si="23"/>
        <v>Karawang</v>
      </c>
      <c r="G166" s="2" t="s">
        <v>80</v>
      </c>
      <c r="H166" s="2" t="str">
        <f t="shared" si="24"/>
        <v>Kiki Amelia</v>
      </c>
      <c r="I166" s="2" t="s">
        <v>386</v>
      </c>
      <c r="J166" s="2" t="str">
        <f t="shared" si="25"/>
        <v>Made Lestari</v>
      </c>
      <c r="K166" s="2" t="s">
        <v>60</v>
      </c>
      <c r="L166" s="2" t="s">
        <v>61</v>
      </c>
      <c r="M166" s="2">
        <v>1</v>
      </c>
      <c r="N166" s="3">
        <v>21500000</v>
      </c>
      <c r="O166" s="3">
        <v>1075000</v>
      </c>
      <c r="P166" s="3">
        <v>20425000</v>
      </c>
      <c r="Q166" s="3" t="str">
        <f t="shared" si="20"/>
        <v>Normal</v>
      </c>
      <c r="R166" s="2" t="s">
        <v>21</v>
      </c>
      <c r="S166" s="2" t="s">
        <v>22</v>
      </c>
      <c r="T166" s="2" t="s">
        <v>23</v>
      </c>
      <c r="U166">
        <f t="shared" si="19"/>
        <v>1</v>
      </c>
    </row>
    <row r="167" spans="1:21">
      <c r="A167" s="2" t="s">
        <v>387</v>
      </c>
      <c r="B167" s="2" t="s">
        <v>15</v>
      </c>
      <c r="C167" s="2" t="str">
        <f t="shared" si="21"/>
        <v>2026-07-14</v>
      </c>
      <c r="D167" s="5">
        <f t="shared" si="22"/>
        <v>46217</v>
      </c>
      <c r="E167" s="2" t="s">
        <v>33</v>
      </c>
      <c r="F167" s="2" t="str">
        <f t="shared" si="23"/>
        <v>Depok</v>
      </c>
      <c r="G167" s="2" t="s">
        <v>72</v>
      </c>
      <c r="H167" s="2" t="str">
        <f t="shared" si="24"/>
        <v>Sari Dewi</v>
      </c>
      <c r="I167" s="2" t="s">
        <v>123</v>
      </c>
      <c r="J167" s="2" t="str">
        <f t="shared" si="25"/>
        <v>Citra Pratama</v>
      </c>
      <c r="K167" s="2" t="s">
        <v>91</v>
      </c>
      <c r="L167" s="2" t="s">
        <v>92</v>
      </c>
      <c r="M167" s="2">
        <v>1</v>
      </c>
      <c r="N167" s="3">
        <v>26900000</v>
      </c>
      <c r="O167" s="3">
        <v>269000</v>
      </c>
      <c r="P167" s="3">
        <v>26631000</v>
      </c>
      <c r="Q167" s="3" t="str">
        <f t="shared" si="20"/>
        <v>Normal</v>
      </c>
      <c r="R167" s="2" t="s">
        <v>21</v>
      </c>
      <c r="S167" s="2" t="s">
        <v>22</v>
      </c>
      <c r="T167" s="2" t="s">
        <v>23</v>
      </c>
      <c r="U167">
        <f t="shared" si="19"/>
        <v>1</v>
      </c>
    </row>
    <row r="168" spans="1:21">
      <c r="A168" s="2" t="s">
        <v>388</v>
      </c>
      <c r="B168" s="2" t="s">
        <v>15</v>
      </c>
      <c r="C168" s="2" t="str">
        <f t="shared" si="21"/>
        <v>2026-07-14</v>
      </c>
      <c r="D168" s="5">
        <f t="shared" si="22"/>
        <v>46217</v>
      </c>
      <c r="E168" s="2" t="s">
        <v>97</v>
      </c>
      <c r="F168" s="2" t="str">
        <f t="shared" si="23"/>
        <v>Serang</v>
      </c>
      <c r="G168" s="2" t="s">
        <v>66</v>
      </c>
      <c r="H168" s="2" t="str">
        <f t="shared" si="24"/>
        <v>Puji Lestari</v>
      </c>
      <c r="I168" s="2" t="s">
        <v>171</v>
      </c>
      <c r="J168" s="2" t="str">
        <f t="shared" si="25"/>
        <v>Oscar Saputra</v>
      </c>
      <c r="K168" s="2" t="s">
        <v>19</v>
      </c>
      <c r="L168" s="2" t="s">
        <v>20</v>
      </c>
      <c r="M168" s="2">
        <v>2</v>
      </c>
      <c r="N168" s="3">
        <v>33500000</v>
      </c>
      <c r="O168" s="3">
        <v>670000</v>
      </c>
      <c r="P168" s="3">
        <v>66330000</v>
      </c>
      <c r="Q168" s="3" t="str">
        <f t="shared" si="20"/>
        <v>Normal</v>
      </c>
      <c r="R168" s="2" t="s">
        <v>38</v>
      </c>
      <c r="S168" s="2" t="s">
        <v>22</v>
      </c>
      <c r="T168" s="2" t="s">
        <v>23</v>
      </c>
      <c r="U168">
        <f t="shared" si="19"/>
        <v>1</v>
      </c>
    </row>
    <row r="169" spans="1:21">
      <c r="A169" s="2" t="s">
        <v>389</v>
      </c>
      <c r="B169" s="2" t="s">
        <v>57</v>
      </c>
      <c r="C169" s="2" t="str">
        <f t="shared" si="21"/>
        <v>2026-07-17</v>
      </c>
      <c r="D169" s="5">
        <f t="shared" si="22"/>
        <v>46220</v>
      </c>
      <c r="E169" s="2" t="s">
        <v>148</v>
      </c>
      <c r="F169" s="2" t="str">
        <f t="shared" si="23"/>
        <v>Cikarang</v>
      </c>
      <c r="G169" s="2" t="s">
        <v>66</v>
      </c>
      <c r="H169" s="2" t="str">
        <f t="shared" si="24"/>
        <v>Puji Lestari</v>
      </c>
      <c r="I169" s="2" t="s">
        <v>390</v>
      </c>
      <c r="J169" s="2" t="str">
        <f t="shared" si="25"/>
        <v>Nia Wijaya</v>
      </c>
      <c r="K169" s="2" t="s">
        <v>51</v>
      </c>
      <c r="L169" s="2" t="s">
        <v>52</v>
      </c>
      <c r="M169" s="2">
        <v>1</v>
      </c>
      <c r="N169" s="3">
        <v>41000000</v>
      </c>
      <c r="O169" s="3">
        <v>0</v>
      </c>
      <c r="P169" s="3">
        <v>41000000</v>
      </c>
      <c r="Q169" s="3" t="str">
        <f t="shared" si="20"/>
        <v>Normal</v>
      </c>
      <c r="R169" s="2" t="s">
        <v>21</v>
      </c>
      <c r="S169" s="2" t="s">
        <v>87</v>
      </c>
      <c r="T169" s="2" t="s">
        <v>39</v>
      </c>
      <c r="U169">
        <f t="shared" si="19"/>
        <v>1</v>
      </c>
    </row>
    <row r="170" spans="1:21">
      <c r="A170" s="2" t="s">
        <v>391</v>
      </c>
      <c r="B170" s="2" t="s">
        <v>25</v>
      </c>
      <c r="C170" s="2" t="str">
        <f t="shared" si="21"/>
        <v>2026-07-16</v>
      </c>
      <c r="D170" s="5">
        <f t="shared" si="22"/>
        <v>46219</v>
      </c>
      <c r="E170" s="2" t="s">
        <v>112</v>
      </c>
      <c r="F170" s="2" t="str">
        <f t="shared" si="23"/>
        <v>Jakarta Timur</v>
      </c>
      <c r="G170" s="2" t="s">
        <v>201</v>
      </c>
      <c r="H170" s="2" t="str">
        <f t="shared" si="24"/>
        <v>Nanda Pratama</v>
      </c>
      <c r="I170" s="2" t="s">
        <v>392</v>
      </c>
      <c r="J170" s="2" t="str">
        <f t="shared" si="25"/>
        <v>Tono Lestari</v>
      </c>
      <c r="K170" s="2" t="s">
        <v>142</v>
      </c>
      <c r="L170" s="2" t="s">
        <v>143</v>
      </c>
      <c r="M170" s="2">
        <v>1</v>
      </c>
      <c r="N170" s="3">
        <v>18900000</v>
      </c>
      <c r="O170" s="3">
        <v>0</v>
      </c>
      <c r="P170" s="3">
        <v>18900000</v>
      </c>
      <c r="Q170" s="3" t="str">
        <f t="shared" si="20"/>
        <v>Normal</v>
      </c>
      <c r="R170" s="2" t="s">
        <v>21</v>
      </c>
      <c r="S170" s="2" t="s">
        <v>22</v>
      </c>
      <c r="T170" s="2" t="s">
        <v>30</v>
      </c>
      <c r="U170">
        <f t="shared" si="19"/>
        <v>1</v>
      </c>
    </row>
    <row r="171" spans="1:21">
      <c r="A171" s="2" t="s">
        <v>393</v>
      </c>
      <c r="B171" s="2" t="s">
        <v>140</v>
      </c>
      <c r="C171" s="2" t="str">
        <f t="shared" si="21"/>
        <v>2026-07-19</v>
      </c>
      <c r="D171" s="5">
        <f t="shared" si="22"/>
        <v>46222</v>
      </c>
      <c r="E171" s="2" t="s">
        <v>48</v>
      </c>
      <c r="F171" s="2" t="str">
        <f t="shared" si="23"/>
        <v>Jakarta Selatan</v>
      </c>
      <c r="G171" s="2" t="s">
        <v>98</v>
      </c>
      <c r="H171" s="2" t="str">
        <f t="shared" si="24"/>
        <v>Rangga Saputra</v>
      </c>
      <c r="I171" s="2" t="s">
        <v>394</v>
      </c>
      <c r="J171" s="2" t="str">
        <f t="shared" si="25"/>
        <v>Rendi Saputra</v>
      </c>
      <c r="K171" s="2" t="s">
        <v>19</v>
      </c>
      <c r="L171" s="2" t="s">
        <v>20</v>
      </c>
      <c r="M171" s="2">
        <v>1</v>
      </c>
      <c r="N171" s="3">
        <v>33500000</v>
      </c>
      <c r="O171" s="3">
        <v>0</v>
      </c>
      <c r="P171" s="3">
        <v>33500000</v>
      </c>
      <c r="Q171" s="3" t="str">
        <f t="shared" si="20"/>
        <v>Normal</v>
      </c>
      <c r="R171" s="2" t="s">
        <v>29</v>
      </c>
      <c r="S171" s="2" t="s">
        <v>22</v>
      </c>
      <c r="T171" s="2" t="s">
        <v>39</v>
      </c>
      <c r="U171">
        <f t="shared" si="19"/>
        <v>1</v>
      </c>
    </row>
    <row r="172" spans="1:21">
      <c r="A172" s="2" t="s">
        <v>395</v>
      </c>
      <c r="B172" s="2" t="s">
        <v>140</v>
      </c>
      <c r="C172" s="2" t="str">
        <f t="shared" si="21"/>
        <v>2026-07-19</v>
      </c>
      <c r="D172" s="5">
        <f t="shared" si="22"/>
        <v>46222</v>
      </c>
      <c r="E172" s="2" t="s">
        <v>26</v>
      </c>
      <c r="F172" s="2" t="str">
        <f t="shared" si="23"/>
        <v>Sukabumi</v>
      </c>
      <c r="G172" s="2" t="s">
        <v>80</v>
      </c>
      <c r="H172" s="2" t="str">
        <f t="shared" si="24"/>
        <v>Kiki Amelia</v>
      </c>
      <c r="I172" s="2" t="s">
        <v>219</v>
      </c>
      <c r="J172" s="2" t="str">
        <f t="shared" si="25"/>
        <v>Tono Ramadhan</v>
      </c>
      <c r="K172" s="2" t="s">
        <v>19</v>
      </c>
      <c r="L172" s="2" t="s">
        <v>20</v>
      </c>
      <c r="M172" s="2">
        <v>1</v>
      </c>
      <c r="N172" s="3">
        <v>33500000</v>
      </c>
      <c r="O172" s="3">
        <v>335000</v>
      </c>
      <c r="P172" s="3">
        <v>33165000</v>
      </c>
      <c r="Q172" s="3" t="str">
        <f t="shared" si="20"/>
        <v>Normal</v>
      </c>
      <c r="R172" s="2" t="s">
        <v>29</v>
      </c>
      <c r="S172" s="2" t="s">
        <v>22</v>
      </c>
      <c r="T172" s="2" t="s">
        <v>23</v>
      </c>
      <c r="U172">
        <f t="shared" si="19"/>
        <v>1</v>
      </c>
    </row>
    <row r="173" spans="1:21">
      <c r="A173" s="2" t="s">
        <v>396</v>
      </c>
      <c r="B173" s="2" t="s">
        <v>167</v>
      </c>
      <c r="C173" s="2" t="str">
        <f t="shared" si="21"/>
        <v>19/07/2026</v>
      </c>
      <c r="D173" s="5">
        <f t="shared" si="22"/>
        <v>46222</v>
      </c>
      <c r="E173" s="2" t="s">
        <v>33</v>
      </c>
      <c r="F173" s="2" t="str">
        <f t="shared" si="23"/>
        <v>Depok</v>
      </c>
      <c r="G173" s="2" t="s">
        <v>72</v>
      </c>
      <c r="H173" s="2" t="str">
        <f t="shared" si="24"/>
        <v>Sari Dewi</v>
      </c>
      <c r="I173" s="2" t="s">
        <v>280</v>
      </c>
      <c r="J173" s="2" t="str">
        <f t="shared" si="25"/>
        <v>Made Hidayat</v>
      </c>
      <c r="K173" s="2" t="s">
        <v>91</v>
      </c>
      <c r="L173" s="2" t="s">
        <v>92</v>
      </c>
      <c r="M173" s="2">
        <v>1</v>
      </c>
      <c r="N173" s="3">
        <v>26900000</v>
      </c>
      <c r="O173" s="3">
        <v>269000</v>
      </c>
      <c r="P173" s="3">
        <v>26631000</v>
      </c>
      <c r="Q173" s="3" t="str">
        <f t="shared" si="20"/>
        <v>Normal</v>
      </c>
      <c r="R173" s="2" t="s">
        <v>46</v>
      </c>
      <c r="S173" s="2" t="s">
        <v>22</v>
      </c>
      <c r="T173" s="2" t="s">
        <v>30</v>
      </c>
      <c r="U173">
        <f t="shared" si="19"/>
        <v>1</v>
      </c>
    </row>
    <row r="174" spans="1:21">
      <c r="A174" s="2" t="s">
        <v>397</v>
      </c>
      <c r="B174" s="2" t="s">
        <v>15</v>
      </c>
      <c r="C174" s="2" t="str">
        <f t="shared" si="21"/>
        <v>2026-07-14</v>
      </c>
      <c r="D174" s="5">
        <f t="shared" si="22"/>
        <v>46217</v>
      </c>
      <c r="E174" s="2" t="s">
        <v>33</v>
      </c>
      <c r="F174" s="2" t="str">
        <f t="shared" si="23"/>
        <v>Depok</v>
      </c>
      <c r="G174" s="2" t="s">
        <v>201</v>
      </c>
      <c r="H174" s="2" t="str">
        <f t="shared" si="24"/>
        <v>Nanda Pratama</v>
      </c>
      <c r="I174" s="2" t="s">
        <v>35</v>
      </c>
      <c r="J174" s="2" t="str">
        <f t="shared" si="25"/>
        <v>Putra Hidayat</v>
      </c>
      <c r="K174" s="2" t="s">
        <v>99</v>
      </c>
      <c r="L174" s="2" t="s">
        <v>100</v>
      </c>
      <c r="M174" s="2">
        <v>1</v>
      </c>
      <c r="N174" s="3">
        <v>29800000</v>
      </c>
      <c r="O174" s="3">
        <v>596000</v>
      </c>
      <c r="P174" s="3">
        <v>29204000</v>
      </c>
      <c r="Q174" s="3" t="str">
        <f t="shared" si="20"/>
        <v>Normal</v>
      </c>
      <c r="R174" s="2" t="s">
        <v>62</v>
      </c>
      <c r="S174" s="2" t="s">
        <v>22</v>
      </c>
      <c r="T174" s="2" t="s">
        <v>39</v>
      </c>
      <c r="U174">
        <f t="shared" si="19"/>
        <v>1</v>
      </c>
    </row>
    <row r="175" spans="1:21">
      <c r="A175" s="2" t="s">
        <v>398</v>
      </c>
      <c r="B175" s="2" t="s">
        <v>125</v>
      </c>
      <c r="C175" s="2" t="str">
        <f t="shared" si="21"/>
        <v>16/07/2026</v>
      </c>
      <c r="D175" s="5">
        <f t="shared" si="22"/>
        <v>46219</v>
      </c>
      <c r="E175" s="2" t="s">
        <v>97</v>
      </c>
      <c r="F175" s="2" t="str">
        <f t="shared" si="23"/>
        <v>Serang</v>
      </c>
      <c r="G175" s="2"/>
      <c r="H175" s="2" t="str">
        <f t="shared" si="24"/>
        <v>Unknown</v>
      </c>
      <c r="I175" s="2" t="s">
        <v>109</v>
      </c>
      <c r="J175" s="2" t="str">
        <f t="shared" si="25"/>
        <v>Irfan Firmansyah</v>
      </c>
      <c r="K175" s="2" t="s">
        <v>60</v>
      </c>
      <c r="L175" s="2" t="s">
        <v>61</v>
      </c>
      <c r="M175" s="2">
        <v>1</v>
      </c>
      <c r="N175" s="3">
        <v>21500000</v>
      </c>
      <c r="O175" s="3">
        <v>645000</v>
      </c>
      <c r="P175" s="3">
        <v>20855000</v>
      </c>
      <c r="Q175" s="3" t="str">
        <f t="shared" si="20"/>
        <v>Normal</v>
      </c>
      <c r="R175" s="2" t="s">
        <v>46</v>
      </c>
      <c r="S175" s="2" t="s">
        <v>22</v>
      </c>
      <c r="T175" s="2" t="s">
        <v>77</v>
      </c>
      <c r="U175">
        <f t="shared" si="19"/>
        <v>1</v>
      </c>
    </row>
    <row r="176" spans="1:21">
      <c r="A176" s="2" t="s">
        <v>399</v>
      </c>
      <c r="B176" s="2" t="s">
        <v>111</v>
      </c>
      <c r="C176" s="2" t="str">
        <f t="shared" si="21"/>
        <v>14/07/2026</v>
      </c>
      <c r="D176" s="5">
        <f t="shared" si="22"/>
        <v>46217</v>
      </c>
      <c r="E176" s="2" t="s">
        <v>33</v>
      </c>
      <c r="F176" s="2" t="str">
        <f t="shared" si="23"/>
        <v>Depok</v>
      </c>
      <c r="G176" s="2" t="s">
        <v>130</v>
      </c>
      <c r="H176" s="2" t="str">
        <f t="shared" si="24"/>
        <v>Indah Permata</v>
      </c>
      <c r="I176" s="2" t="s">
        <v>322</v>
      </c>
      <c r="J176" s="2" t="str">
        <f t="shared" si="25"/>
        <v>Siska Hidayat</v>
      </c>
      <c r="K176" s="2" t="s">
        <v>152</v>
      </c>
      <c r="L176" s="2" t="s">
        <v>153</v>
      </c>
      <c r="M176" s="2">
        <v>1</v>
      </c>
      <c r="N176" s="3">
        <v>27400000</v>
      </c>
      <c r="O176" s="3">
        <v>274000</v>
      </c>
      <c r="P176" s="3">
        <v>27126000</v>
      </c>
      <c r="Q176" s="3" t="str">
        <f t="shared" si="20"/>
        <v>Normal</v>
      </c>
      <c r="R176" s="2" t="s">
        <v>29</v>
      </c>
      <c r="S176" s="2" t="s">
        <v>22</v>
      </c>
      <c r="T176" s="2" t="s">
        <v>39</v>
      </c>
      <c r="U176">
        <f t="shared" si="19"/>
        <v>1</v>
      </c>
    </row>
    <row r="177" spans="1:21">
      <c r="A177" s="2" t="s">
        <v>400</v>
      </c>
      <c r="B177" s="2" t="s">
        <v>84</v>
      </c>
      <c r="C177" s="2" t="str">
        <f t="shared" si="21"/>
        <v>2026-07-15</v>
      </c>
      <c r="D177" s="5">
        <f t="shared" si="22"/>
        <v>46218</v>
      </c>
      <c r="E177" s="2" t="s">
        <v>182</v>
      </c>
      <c r="F177" s="2" t="str">
        <f t="shared" si="23"/>
        <v>Bogor</v>
      </c>
      <c r="G177" s="2" t="s">
        <v>98</v>
      </c>
      <c r="H177" s="2" t="str">
        <f t="shared" si="24"/>
        <v>Rangga Saputra</v>
      </c>
      <c r="I177" s="2" t="s">
        <v>280</v>
      </c>
      <c r="J177" s="2" t="str">
        <f t="shared" si="25"/>
        <v>Made Hidayat</v>
      </c>
      <c r="K177" s="2" t="s">
        <v>51</v>
      </c>
      <c r="L177" s="2" t="s">
        <v>52</v>
      </c>
      <c r="M177" s="2">
        <v>1</v>
      </c>
      <c r="N177" s="3">
        <v>41000000</v>
      </c>
      <c r="O177" s="3">
        <v>0</v>
      </c>
      <c r="P177" s="3">
        <v>41000000</v>
      </c>
      <c r="Q177" s="3" t="str">
        <f t="shared" si="20"/>
        <v>Normal</v>
      </c>
      <c r="R177" s="2" t="s">
        <v>62</v>
      </c>
      <c r="S177" s="2" t="s">
        <v>22</v>
      </c>
      <c r="T177" s="2" t="s">
        <v>30</v>
      </c>
      <c r="U177">
        <f t="shared" si="19"/>
        <v>1</v>
      </c>
    </row>
    <row r="178" spans="1:21">
      <c r="A178" s="2" t="s">
        <v>401</v>
      </c>
      <c r="B178" s="2" t="s">
        <v>25</v>
      </c>
      <c r="C178" s="2" t="str">
        <f t="shared" si="21"/>
        <v>2026-07-16</v>
      </c>
      <c r="D178" s="5">
        <f t="shared" si="22"/>
        <v>46219</v>
      </c>
      <c r="E178" s="2" t="s">
        <v>112</v>
      </c>
      <c r="F178" s="2" t="str">
        <f t="shared" si="23"/>
        <v>Jakarta Timur</v>
      </c>
      <c r="G178" s="2" t="s">
        <v>27</v>
      </c>
      <c r="H178" s="2" t="str">
        <f t="shared" si="24"/>
        <v>Vino Bastian G.</v>
      </c>
      <c r="I178" s="2" t="s">
        <v>402</v>
      </c>
      <c r="J178" s="2" t="str">
        <f t="shared" si="25"/>
        <v>Made Saputra</v>
      </c>
      <c r="K178" s="2" t="s">
        <v>19</v>
      </c>
      <c r="L178" s="2" t="s">
        <v>20</v>
      </c>
      <c r="M178" s="2">
        <v>1</v>
      </c>
      <c r="N178" s="3">
        <v>33500000</v>
      </c>
      <c r="O178" s="3">
        <v>1005000</v>
      </c>
      <c r="P178" s="3">
        <v>32495000</v>
      </c>
      <c r="Q178" s="3" t="str">
        <f t="shared" si="20"/>
        <v>Normal</v>
      </c>
      <c r="R178" s="2" t="s">
        <v>29</v>
      </c>
      <c r="S178" s="2" t="s">
        <v>22</v>
      </c>
      <c r="T178" s="2" t="s">
        <v>30</v>
      </c>
      <c r="U178">
        <f t="shared" si="19"/>
        <v>1</v>
      </c>
    </row>
    <row r="179" spans="1:21">
      <c r="A179" s="2" t="s">
        <v>403</v>
      </c>
      <c r="B179" s="2" t="s">
        <v>140</v>
      </c>
      <c r="C179" s="2" t="str">
        <f t="shared" si="21"/>
        <v>2026-07-19</v>
      </c>
      <c r="D179" s="5">
        <f t="shared" si="22"/>
        <v>46222</v>
      </c>
      <c r="E179" s="2" t="s">
        <v>148</v>
      </c>
      <c r="F179" s="2" t="str">
        <f t="shared" si="23"/>
        <v>Cikarang</v>
      </c>
      <c r="G179" s="2" t="s">
        <v>58</v>
      </c>
      <c r="H179" s="2" t="str">
        <f t="shared" si="24"/>
        <v>Umi Kalsum</v>
      </c>
      <c r="I179" s="2" t="s">
        <v>404</v>
      </c>
      <c r="J179" s="2" t="str">
        <f t="shared" si="25"/>
        <v>Eko Lestari</v>
      </c>
      <c r="K179" s="2" t="s">
        <v>99</v>
      </c>
      <c r="L179" s="2" t="s">
        <v>100</v>
      </c>
      <c r="M179" s="2">
        <v>1</v>
      </c>
      <c r="N179" s="3">
        <v>29800000</v>
      </c>
      <c r="O179" s="3">
        <v>596000</v>
      </c>
      <c r="P179" s="3">
        <v>29204000</v>
      </c>
      <c r="Q179" s="3" t="str">
        <f t="shared" si="20"/>
        <v>Normal</v>
      </c>
      <c r="R179" s="2" t="s">
        <v>62</v>
      </c>
      <c r="S179" s="2" t="s">
        <v>22</v>
      </c>
      <c r="T179" s="2" t="s">
        <v>23</v>
      </c>
      <c r="U179">
        <f t="shared" si="19"/>
        <v>1</v>
      </c>
    </row>
    <row r="180" spans="1:21">
      <c r="A180" s="2" t="s">
        <v>405</v>
      </c>
      <c r="B180" s="2" t="s">
        <v>15</v>
      </c>
      <c r="C180" s="2" t="str">
        <f t="shared" si="21"/>
        <v>2026-07-14</v>
      </c>
      <c r="D180" s="5">
        <f t="shared" si="22"/>
        <v>46217</v>
      </c>
      <c r="E180" s="2" t="s">
        <v>71</v>
      </c>
      <c r="F180" s="2" t="str">
        <f t="shared" si="23"/>
        <v>Bekasi</v>
      </c>
      <c r="G180" s="2" t="s">
        <v>145</v>
      </c>
      <c r="H180" s="2" t="str">
        <f t="shared" si="24"/>
        <v>Doni Saputra</v>
      </c>
      <c r="I180" s="2" t="s">
        <v>406</v>
      </c>
      <c r="J180" s="2" t="str">
        <f t="shared" si="25"/>
        <v>Budi Saputra</v>
      </c>
      <c r="K180" s="2" t="s">
        <v>19</v>
      </c>
      <c r="L180" s="2" t="s">
        <v>20</v>
      </c>
      <c r="M180" s="2">
        <v>1</v>
      </c>
      <c r="N180" s="3">
        <v>33500000</v>
      </c>
      <c r="O180" s="3">
        <v>335000</v>
      </c>
      <c r="P180" s="3">
        <v>33165000</v>
      </c>
      <c r="Q180" s="3" t="str">
        <f t="shared" si="20"/>
        <v>Normal</v>
      </c>
      <c r="R180" s="2" t="s">
        <v>46</v>
      </c>
      <c r="S180" s="2" t="s">
        <v>22</v>
      </c>
      <c r="T180" s="2" t="s">
        <v>30</v>
      </c>
      <c r="U180">
        <f t="shared" si="19"/>
        <v>1</v>
      </c>
    </row>
    <row r="181" spans="1:21">
      <c r="A181" s="2" t="s">
        <v>407</v>
      </c>
      <c r="B181" s="2" t="s">
        <v>105</v>
      </c>
      <c r="C181" s="2" t="str">
        <f t="shared" si="21"/>
        <v>13/07/2026</v>
      </c>
      <c r="D181" s="5">
        <f t="shared" si="22"/>
        <v>46216</v>
      </c>
      <c r="E181" s="2" t="s">
        <v>48</v>
      </c>
      <c r="F181" s="2" t="str">
        <f t="shared" si="23"/>
        <v>Jakarta Selatan</v>
      </c>
      <c r="G181" s="2" t="s">
        <v>80</v>
      </c>
      <c r="H181" s="2" t="str">
        <f t="shared" si="24"/>
        <v>Kiki Amelia</v>
      </c>
      <c r="I181" s="2" t="s">
        <v>267</v>
      </c>
      <c r="J181" s="2" t="str">
        <f t="shared" si="25"/>
        <v>Kevin Pratama</v>
      </c>
      <c r="K181" s="2" t="s">
        <v>19</v>
      </c>
      <c r="L181" s="2" t="s">
        <v>20</v>
      </c>
      <c r="M181" s="2">
        <v>1</v>
      </c>
      <c r="N181" s="3">
        <v>33500000</v>
      </c>
      <c r="O181" s="3">
        <v>1005000</v>
      </c>
      <c r="P181" s="3">
        <v>32495000</v>
      </c>
      <c r="Q181" s="3" t="str">
        <f t="shared" si="20"/>
        <v>Normal</v>
      </c>
      <c r="R181" s="2" t="s">
        <v>38</v>
      </c>
      <c r="S181" s="2" t="s">
        <v>82</v>
      </c>
      <c r="T181" s="2" t="s">
        <v>77</v>
      </c>
      <c r="U181">
        <f t="shared" si="19"/>
        <v>1</v>
      </c>
    </row>
    <row r="182" spans="1:21">
      <c r="A182" s="2" t="s">
        <v>408</v>
      </c>
      <c r="B182" s="2" t="s">
        <v>32</v>
      </c>
      <c r="C182" s="2" t="str">
        <f t="shared" si="21"/>
        <v>15/07/2026</v>
      </c>
      <c r="D182" s="5">
        <f t="shared" si="22"/>
        <v>46218</v>
      </c>
      <c r="E182" s="2" t="s">
        <v>362</v>
      </c>
      <c r="F182" s="2" t="str">
        <f t="shared" si="23"/>
        <v>Bekasi</v>
      </c>
      <c r="G182" s="2" t="s">
        <v>27</v>
      </c>
      <c r="H182" s="2" t="str">
        <f t="shared" si="24"/>
        <v>Vino Bastian G.</v>
      </c>
      <c r="I182" s="2" t="s">
        <v>259</v>
      </c>
      <c r="J182" s="2" t="str">
        <f t="shared" si="25"/>
        <v>Lala Lestari</v>
      </c>
      <c r="K182" s="2" t="s">
        <v>19</v>
      </c>
      <c r="L182" s="2" t="s">
        <v>20</v>
      </c>
      <c r="M182" s="2">
        <v>1</v>
      </c>
      <c r="N182" s="3">
        <v>33500000</v>
      </c>
      <c r="O182" s="3">
        <v>670000</v>
      </c>
      <c r="P182" s="3">
        <v>32830000</v>
      </c>
      <c r="Q182" s="3" t="str">
        <f t="shared" si="20"/>
        <v>Normal</v>
      </c>
      <c r="R182" s="2" t="s">
        <v>62</v>
      </c>
      <c r="S182" s="2" t="s">
        <v>22</v>
      </c>
      <c r="T182" s="2" t="s">
        <v>77</v>
      </c>
      <c r="U182">
        <f t="shared" si="19"/>
        <v>1</v>
      </c>
    </row>
    <row r="183" spans="1:21">
      <c r="A183" s="2" t="s">
        <v>409</v>
      </c>
      <c r="B183" s="2" t="s">
        <v>135</v>
      </c>
      <c r="C183" s="2" t="str">
        <f t="shared" si="21"/>
        <v>16/07/2026</v>
      </c>
      <c r="D183" s="5">
        <f t="shared" si="22"/>
        <v>46219</v>
      </c>
      <c r="E183" s="2" t="s">
        <v>148</v>
      </c>
      <c r="F183" s="2" t="str">
        <f t="shared" si="23"/>
        <v>Cikarang</v>
      </c>
      <c r="G183" s="2" t="s">
        <v>98</v>
      </c>
      <c r="H183" s="2" t="str">
        <f t="shared" si="24"/>
        <v>Rangga Saputra</v>
      </c>
      <c r="I183" s="2" t="s">
        <v>267</v>
      </c>
      <c r="J183" s="2" t="str">
        <f t="shared" si="25"/>
        <v>Kevin Pratama</v>
      </c>
      <c r="K183" s="2" t="s">
        <v>142</v>
      </c>
      <c r="L183" s="2" t="s">
        <v>143</v>
      </c>
      <c r="M183" s="2">
        <v>1</v>
      </c>
      <c r="N183" s="3">
        <v>18900000</v>
      </c>
      <c r="O183" s="3">
        <v>0</v>
      </c>
      <c r="P183" s="3">
        <v>18900000</v>
      </c>
      <c r="Q183" s="3" t="str">
        <f t="shared" si="20"/>
        <v>Normal</v>
      </c>
      <c r="R183" s="2" t="s">
        <v>46</v>
      </c>
      <c r="S183" s="2" t="s">
        <v>22</v>
      </c>
      <c r="T183" s="2" t="s">
        <v>30</v>
      </c>
      <c r="U183">
        <f t="shared" si="19"/>
        <v>1</v>
      </c>
    </row>
    <row r="184" spans="1:21">
      <c r="A184" s="2" t="s">
        <v>410</v>
      </c>
      <c r="B184" s="2" t="s">
        <v>15</v>
      </c>
      <c r="C184" s="2" t="str">
        <f t="shared" si="21"/>
        <v>2026-07-14</v>
      </c>
      <c r="D184" s="5">
        <f t="shared" si="22"/>
        <v>46217</v>
      </c>
      <c r="E184" s="2" t="s">
        <v>112</v>
      </c>
      <c r="F184" s="2" t="str">
        <f t="shared" si="23"/>
        <v>Jakarta Timur</v>
      </c>
      <c r="G184" s="2" t="s">
        <v>94</v>
      </c>
      <c r="H184" s="2" t="str">
        <f t="shared" si="24"/>
        <v>Gita Ayu</v>
      </c>
      <c r="I184" s="2" t="s">
        <v>202</v>
      </c>
      <c r="J184" s="2" t="str">
        <f t="shared" si="25"/>
        <v>Citra Maharani</v>
      </c>
      <c r="K184" s="2" t="s">
        <v>99</v>
      </c>
      <c r="L184" s="2" t="s">
        <v>100</v>
      </c>
      <c r="M184" s="2">
        <v>1</v>
      </c>
      <c r="N184" s="3">
        <v>29800000</v>
      </c>
      <c r="O184" s="3">
        <v>894000</v>
      </c>
      <c r="P184" s="3">
        <v>28906000</v>
      </c>
      <c r="Q184" s="3" t="str">
        <f t="shared" si="20"/>
        <v>Normal</v>
      </c>
      <c r="R184" s="2" t="s">
        <v>29</v>
      </c>
      <c r="S184" s="2" t="s">
        <v>22</v>
      </c>
      <c r="T184" s="2" t="s">
        <v>30</v>
      </c>
      <c r="U184">
        <f t="shared" si="19"/>
        <v>1</v>
      </c>
    </row>
    <row r="185" spans="1:21">
      <c r="A185" s="2" t="s">
        <v>411</v>
      </c>
      <c r="B185" s="2" t="s">
        <v>15</v>
      </c>
      <c r="C185" s="2" t="str">
        <f t="shared" si="21"/>
        <v>2026-07-14</v>
      </c>
      <c r="D185" s="5">
        <f t="shared" si="22"/>
        <v>46217</v>
      </c>
      <c r="E185" s="2" t="s">
        <v>182</v>
      </c>
      <c r="F185" s="2" t="str">
        <f t="shared" si="23"/>
        <v>Bogor</v>
      </c>
      <c r="G185" s="2" t="s">
        <v>54</v>
      </c>
      <c r="H185" s="2" t="str">
        <f t="shared" si="24"/>
        <v>Hadi Santoso</v>
      </c>
      <c r="I185" s="2" t="s">
        <v>273</v>
      </c>
      <c r="J185" s="2" t="str">
        <f t="shared" si="25"/>
        <v>Irfan Wijaya</v>
      </c>
      <c r="K185" s="2" t="s">
        <v>142</v>
      </c>
      <c r="L185" s="2" t="s">
        <v>143</v>
      </c>
      <c r="M185" s="2">
        <v>1</v>
      </c>
      <c r="N185" s="3">
        <v>18900000</v>
      </c>
      <c r="O185" s="3">
        <v>945000</v>
      </c>
      <c r="P185" s="3">
        <v>17955000</v>
      </c>
      <c r="Q185" s="3" t="str">
        <f t="shared" si="20"/>
        <v>Normal</v>
      </c>
      <c r="R185" s="2" t="s">
        <v>46</v>
      </c>
      <c r="S185" s="2" t="s">
        <v>22</v>
      </c>
      <c r="T185" s="2" t="s">
        <v>77</v>
      </c>
      <c r="U185">
        <f t="shared" si="19"/>
        <v>1</v>
      </c>
    </row>
    <row r="186" spans="1:21">
      <c r="A186" s="2" t="s">
        <v>412</v>
      </c>
      <c r="B186" s="2" t="s">
        <v>41</v>
      </c>
      <c r="C186" s="2" t="str">
        <f t="shared" si="21"/>
        <v>15/07/2026</v>
      </c>
      <c r="D186" s="5">
        <f t="shared" si="22"/>
        <v>46218</v>
      </c>
      <c r="E186" s="2" t="s">
        <v>16</v>
      </c>
      <c r="F186" s="2" t="str">
        <f t="shared" si="23"/>
        <v>Cibubur</v>
      </c>
      <c r="G186" s="2" t="s">
        <v>42</v>
      </c>
      <c r="H186" s="2" t="str">
        <f t="shared" si="24"/>
        <v>Lina Marlina</v>
      </c>
      <c r="I186" s="2" t="s">
        <v>245</v>
      </c>
      <c r="J186" s="2" t="str">
        <f t="shared" si="25"/>
        <v>Fitri Firmansyah</v>
      </c>
      <c r="K186" s="2" t="s">
        <v>60</v>
      </c>
      <c r="L186" s="2" t="s">
        <v>61</v>
      </c>
      <c r="M186" s="2">
        <v>2</v>
      </c>
      <c r="N186" s="3">
        <v>21500000</v>
      </c>
      <c r="O186" s="3">
        <v>1290000</v>
      </c>
      <c r="P186" s="3">
        <v>41710000</v>
      </c>
      <c r="Q186" s="3" t="str">
        <f t="shared" si="20"/>
        <v>Normal</v>
      </c>
      <c r="R186" s="2" t="s">
        <v>46</v>
      </c>
      <c r="S186" s="2" t="s">
        <v>22</v>
      </c>
      <c r="T186" s="2" t="s">
        <v>30</v>
      </c>
      <c r="U186">
        <f t="shared" si="19"/>
        <v>1</v>
      </c>
    </row>
    <row r="187" spans="1:21">
      <c r="A187" s="2" t="s">
        <v>413</v>
      </c>
      <c r="B187" s="2" t="s">
        <v>64</v>
      </c>
      <c r="C187" s="2" t="str">
        <f t="shared" si="21"/>
        <v>2026-07-13</v>
      </c>
      <c r="D187" s="5">
        <f t="shared" si="22"/>
        <v>46216</v>
      </c>
      <c r="E187" s="2" t="s">
        <v>85</v>
      </c>
      <c r="F187" s="2" t="str">
        <f t="shared" si="23"/>
        <v>Karawang</v>
      </c>
      <c r="G187" s="2" t="s">
        <v>126</v>
      </c>
      <c r="H187" s="2" t="str">
        <f t="shared" si="24"/>
        <v>Oki Setiawan</v>
      </c>
      <c r="I187" s="2" t="s">
        <v>209</v>
      </c>
      <c r="J187" s="2" t="str">
        <f t="shared" si="25"/>
        <v>Eko Pratama</v>
      </c>
      <c r="K187" s="2" t="s">
        <v>68</v>
      </c>
      <c r="L187" s="2" t="s">
        <v>69</v>
      </c>
      <c r="M187" s="2">
        <v>1</v>
      </c>
      <c r="N187" s="3">
        <v>17800000</v>
      </c>
      <c r="O187" s="3">
        <v>178000</v>
      </c>
      <c r="P187" s="3">
        <v>17622000</v>
      </c>
      <c r="Q187" s="3" t="str">
        <f t="shared" si="20"/>
        <v>Normal</v>
      </c>
      <c r="R187" s="2" t="s">
        <v>21</v>
      </c>
      <c r="S187" s="2" t="s">
        <v>87</v>
      </c>
      <c r="T187" s="2" t="s">
        <v>77</v>
      </c>
      <c r="U187">
        <f t="shared" si="19"/>
        <v>1</v>
      </c>
    </row>
    <row r="188" spans="1:21">
      <c r="A188" s="2" t="s">
        <v>414</v>
      </c>
      <c r="B188" s="2" t="s">
        <v>102</v>
      </c>
      <c r="C188" s="2" t="str">
        <f t="shared" si="21"/>
        <v>18/07/2026</v>
      </c>
      <c r="D188" s="5">
        <f t="shared" si="22"/>
        <v>46221</v>
      </c>
      <c r="E188" s="2" t="s">
        <v>26</v>
      </c>
      <c r="F188" s="2" t="str">
        <f t="shared" si="23"/>
        <v>Sukabumi</v>
      </c>
      <c r="G188" s="2" t="s">
        <v>145</v>
      </c>
      <c r="H188" s="2" t="str">
        <f t="shared" si="24"/>
        <v>Doni Saputra</v>
      </c>
      <c r="I188" s="2" t="s">
        <v>18</v>
      </c>
      <c r="J188" s="2" t="str">
        <f t="shared" si="25"/>
        <v>Galih Ramadhan</v>
      </c>
      <c r="K188" s="2" t="s">
        <v>19</v>
      </c>
      <c r="L188" s="2" t="s">
        <v>20</v>
      </c>
      <c r="M188" s="2">
        <v>2</v>
      </c>
      <c r="N188" s="3">
        <v>33500000</v>
      </c>
      <c r="O188" s="3">
        <v>2010000</v>
      </c>
      <c r="P188" s="3">
        <v>64990000</v>
      </c>
      <c r="Q188" s="3" t="str">
        <f t="shared" si="20"/>
        <v>Normal</v>
      </c>
      <c r="R188" s="2" t="s">
        <v>38</v>
      </c>
      <c r="S188" s="2" t="s">
        <v>22</v>
      </c>
      <c r="T188" s="2" t="s">
        <v>30</v>
      </c>
      <c r="U188">
        <f t="shared" si="19"/>
        <v>1</v>
      </c>
    </row>
    <row r="189" spans="1:21">
      <c r="A189" s="2" t="s">
        <v>415</v>
      </c>
      <c r="B189" s="2" t="s">
        <v>125</v>
      </c>
      <c r="C189" s="2" t="str">
        <f t="shared" si="21"/>
        <v>16/07/2026</v>
      </c>
      <c r="D189" s="5">
        <f t="shared" si="22"/>
        <v>46219</v>
      </c>
      <c r="E189" s="2" t="s">
        <v>85</v>
      </c>
      <c r="F189" s="2" t="str">
        <f t="shared" si="23"/>
        <v>Karawang</v>
      </c>
      <c r="G189" s="2" t="s">
        <v>130</v>
      </c>
      <c r="H189" s="2" t="str">
        <f t="shared" si="24"/>
        <v>Indah Permata</v>
      </c>
      <c r="I189" s="2" t="s">
        <v>223</v>
      </c>
      <c r="J189" s="2" t="str">
        <f t="shared" si="25"/>
        <v>Rendi Kusuma</v>
      </c>
      <c r="K189" s="2" t="s">
        <v>60</v>
      </c>
      <c r="L189" s="2" t="s">
        <v>61</v>
      </c>
      <c r="M189" s="2">
        <v>1</v>
      </c>
      <c r="N189" s="3">
        <v>21500000</v>
      </c>
      <c r="O189" s="3">
        <v>0</v>
      </c>
      <c r="P189" s="3">
        <v>21500000</v>
      </c>
      <c r="Q189" s="3" t="str">
        <f t="shared" si="20"/>
        <v>Normal</v>
      </c>
      <c r="R189" s="2" t="s">
        <v>46</v>
      </c>
      <c r="S189" s="2" t="s">
        <v>22</v>
      </c>
      <c r="T189" s="2" t="s">
        <v>23</v>
      </c>
      <c r="U189">
        <f t="shared" si="19"/>
        <v>1</v>
      </c>
    </row>
    <row r="190" spans="1:21">
      <c r="A190" s="2" t="s">
        <v>416</v>
      </c>
      <c r="B190" s="2" t="s">
        <v>25</v>
      </c>
      <c r="C190" s="2" t="str">
        <f t="shared" si="21"/>
        <v>2026-07-16</v>
      </c>
      <c r="D190" s="5">
        <f t="shared" si="22"/>
        <v>46219</v>
      </c>
      <c r="E190" s="2" t="s">
        <v>48</v>
      </c>
      <c r="F190" s="2" t="str">
        <f t="shared" si="23"/>
        <v>Jakarta Selatan</v>
      </c>
      <c r="G190" s="2" t="s">
        <v>201</v>
      </c>
      <c r="H190" s="2" t="str">
        <f t="shared" si="24"/>
        <v>Nanda Pratama</v>
      </c>
      <c r="I190" s="2" t="s">
        <v>236</v>
      </c>
      <c r="J190" s="2" t="str">
        <f t="shared" si="25"/>
        <v>Kevin Ramadhan</v>
      </c>
      <c r="K190" s="2" t="s">
        <v>60</v>
      </c>
      <c r="L190" s="2" t="s">
        <v>61</v>
      </c>
      <c r="M190" s="2">
        <v>1</v>
      </c>
      <c r="N190" s="3">
        <v>21500000</v>
      </c>
      <c r="O190" s="3">
        <v>1075000</v>
      </c>
      <c r="P190" s="3">
        <v>20425000</v>
      </c>
      <c r="Q190" s="3" t="str">
        <f t="shared" si="20"/>
        <v>Normal</v>
      </c>
      <c r="R190" s="2" t="s">
        <v>29</v>
      </c>
      <c r="S190" s="2" t="s">
        <v>22</v>
      </c>
      <c r="T190" s="2" t="s">
        <v>30</v>
      </c>
      <c r="U190">
        <f t="shared" si="19"/>
        <v>1</v>
      </c>
    </row>
    <row r="191" spans="1:21">
      <c r="A191" s="2" t="s">
        <v>417</v>
      </c>
      <c r="B191" s="2" t="s">
        <v>32</v>
      </c>
      <c r="C191" s="2" t="str">
        <f t="shared" si="21"/>
        <v>15/07/2026</v>
      </c>
      <c r="D191" s="5">
        <f t="shared" si="22"/>
        <v>46218</v>
      </c>
      <c r="E191" s="2" t="s">
        <v>85</v>
      </c>
      <c r="F191" s="2" t="str">
        <f t="shared" si="23"/>
        <v>Karawang</v>
      </c>
      <c r="G191" s="2" t="s">
        <v>113</v>
      </c>
      <c r="H191" s="2" t="str">
        <f t="shared" si="24"/>
        <v>Lukman Hakim</v>
      </c>
      <c r="I191" s="2" t="s">
        <v>418</v>
      </c>
      <c r="J191" s="2" t="str">
        <f t="shared" si="25"/>
        <v>Lala Kusuma</v>
      </c>
      <c r="K191" s="2" t="s">
        <v>19</v>
      </c>
      <c r="L191" s="2" t="s">
        <v>20</v>
      </c>
      <c r="M191" s="2">
        <v>1</v>
      </c>
      <c r="N191" s="3">
        <v>33500000</v>
      </c>
      <c r="O191" s="3">
        <v>335000</v>
      </c>
      <c r="P191" s="3">
        <v>33165000</v>
      </c>
      <c r="Q191" s="3" t="str">
        <f t="shared" si="20"/>
        <v>Normal</v>
      </c>
      <c r="R191" s="2" t="s">
        <v>38</v>
      </c>
      <c r="S191" s="2" t="s">
        <v>22</v>
      </c>
      <c r="T191" s="2" t="s">
        <v>77</v>
      </c>
      <c r="U191">
        <f t="shared" si="19"/>
        <v>1</v>
      </c>
    </row>
    <row r="192" spans="1:21">
      <c r="A192" s="2" t="s">
        <v>419</v>
      </c>
      <c r="B192" s="2" t="s">
        <v>108</v>
      </c>
      <c r="C192" s="2" t="str">
        <f t="shared" si="21"/>
        <v>2026-07-18</v>
      </c>
      <c r="D192" s="5">
        <f t="shared" si="22"/>
        <v>46221</v>
      </c>
      <c r="E192" s="2" t="s">
        <v>148</v>
      </c>
      <c r="F192" s="2" t="str">
        <f t="shared" si="23"/>
        <v>Cikarang</v>
      </c>
      <c r="G192" s="2" t="s">
        <v>201</v>
      </c>
      <c r="H192" s="2" t="str">
        <f t="shared" si="24"/>
        <v>Nanda Pratama</v>
      </c>
      <c r="I192" s="2" t="s">
        <v>265</v>
      </c>
      <c r="J192" s="2" t="str">
        <f t="shared" si="25"/>
        <v>Nia Saputra</v>
      </c>
      <c r="K192" s="2" t="s">
        <v>152</v>
      </c>
      <c r="L192" s="2" t="s">
        <v>153</v>
      </c>
      <c r="M192" s="2">
        <v>1</v>
      </c>
      <c r="N192" s="3">
        <v>27400000</v>
      </c>
      <c r="O192" s="3">
        <v>0</v>
      </c>
      <c r="P192" s="3">
        <v>27400000</v>
      </c>
      <c r="Q192" s="3" t="str">
        <f t="shared" si="20"/>
        <v>Normal</v>
      </c>
      <c r="R192" s="2" t="s">
        <v>62</v>
      </c>
      <c r="S192" s="2" t="s">
        <v>22</v>
      </c>
      <c r="T192" s="2" t="s">
        <v>23</v>
      </c>
      <c r="U192">
        <f t="shared" si="19"/>
        <v>1</v>
      </c>
    </row>
    <row r="193" spans="1:21">
      <c r="A193" s="2" t="s">
        <v>420</v>
      </c>
      <c r="B193" s="2" t="s">
        <v>41</v>
      </c>
      <c r="C193" s="2" t="str">
        <f t="shared" si="21"/>
        <v>15/07/2026</v>
      </c>
      <c r="D193" s="5">
        <f t="shared" si="22"/>
        <v>46218</v>
      </c>
      <c r="E193" s="2" t="s">
        <v>148</v>
      </c>
      <c r="F193" s="2" t="str">
        <f t="shared" si="23"/>
        <v>Cikarang</v>
      </c>
      <c r="G193" s="2" t="s">
        <v>42</v>
      </c>
      <c r="H193" s="2" t="str">
        <f t="shared" si="24"/>
        <v>Lina Marlina</v>
      </c>
      <c r="I193" s="2" t="s">
        <v>165</v>
      </c>
      <c r="J193" s="2" t="str">
        <f t="shared" si="25"/>
        <v>Kevin Lestari</v>
      </c>
      <c r="K193" s="2" t="s">
        <v>19</v>
      </c>
      <c r="L193" s="2" t="s">
        <v>20</v>
      </c>
      <c r="M193" s="2">
        <v>1</v>
      </c>
      <c r="N193" s="3">
        <v>33500000</v>
      </c>
      <c r="O193" s="3">
        <v>335000</v>
      </c>
      <c r="P193" s="3">
        <v>33165000</v>
      </c>
      <c r="Q193" s="3" t="str">
        <f t="shared" si="20"/>
        <v>Normal</v>
      </c>
      <c r="R193" s="2" t="s">
        <v>21</v>
      </c>
      <c r="S193" s="2" t="s">
        <v>22</v>
      </c>
      <c r="T193" s="2" t="s">
        <v>23</v>
      </c>
      <c r="U193">
        <f t="shared" si="19"/>
        <v>1</v>
      </c>
    </row>
    <row r="194" spans="1:21">
      <c r="A194" s="2" t="s">
        <v>421</v>
      </c>
      <c r="B194" s="2" t="s">
        <v>140</v>
      </c>
      <c r="C194" s="2" t="str">
        <f t="shared" si="21"/>
        <v>2026-07-19</v>
      </c>
      <c r="D194" s="5">
        <f t="shared" si="22"/>
        <v>46222</v>
      </c>
      <c r="E194" s="2" t="s">
        <v>148</v>
      </c>
      <c r="F194" s="2" t="str">
        <f t="shared" si="23"/>
        <v>Cikarang</v>
      </c>
      <c r="G194" s="2" t="s">
        <v>27</v>
      </c>
      <c r="H194" s="2" t="str">
        <f t="shared" si="24"/>
        <v>Vino Bastian G.</v>
      </c>
      <c r="I194" s="2" t="s">
        <v>240</v>
      </c>
      <c r="J194" s="2" t="str">
        <f t="shared" si="25"/>
        <v>Budi Kusuma</v>
      </c>
      <c r="K194" s="2" t="s">
        <v>19</v>
      </c>
      <c r="L194" s="2" t="s">
        <v>20</v>
      </c>
      <c r="M194" s="2">
        <v>1</v>
      </c>
      <c r="N194" s="3">
        <v>33500000</v>
      </c>
      <c r="O194" s="3">
        <v>335000</v>
      </c>
      <c r="P194" s="3">
        <v>33165000</v>
      </c>
      <c r="Q194" s="3" t="str">
        <f t="shared" si="20"/>
        <v>Normal</v>
      </c>
      <c r="R194" s="2" t="s">
        <v>46</v>
      </c>
      <c r="S194" s="2" t="s">
        <v>22</v>
      </c>
      <c r="T194" s="2" t="s">
        <v>23</v>
      </c>
      <c r="U194">
        <f t="shared" ref="U194:U257" si="26">COUNTIF($A$2:$A$342,A194)</f>
        <v>1</v>
      </c>
    </row>
    <row r="195" spans="1:21">
      <c r="A195" s="2" t="s">
        <v>422</v>
      </c>
      <c r="B195" s="2" t="s">
        <v>135</v>
      </c>
      <c r="C195" s="2" t="str">
        <f t="shared" si="21"/>
        <v>16/07/2026</v>
      </c>
      <c r="D195" s="5">
        <f t="shared" si="22"/>
        <v>46219</v>
      </c>
      <c r="E195" s="2" t="s">
        <v>212</v>
      </c>
      <c r="F195" s="2" t="str">
        <f t="shared" si="23"/>
        <v>Tangerang</v>
      </c>
      <c r="G195" s="2" t="s">
        <v>49</v>
      </c>
      <c r="H195" s="2" t="str">
        <f t="shared" si="24"/>
        <v>Fajar Nugraha</v>
      </c>
      <c r="I195" s="2" t="s">
        <v>423</v>
      </c>
      <c r="J195" s="2" t="str">
        <f t="shared" si="25"/>
        <v>Siska Pratama</v>
      </c>
      <c r="K195" s="2" t="s">
        <v>44</v>
      </c>
      <c r="L195" s="2" t="s">
        <v>45</v>
      </c>
      <c r="M195" s="2">
        <v>1</v>
      </c>
      <c r="N195" s="3">
        <v>24600000</v>
      </c>
      <c r="O195" s="3">
        <v>738000</v>
      </c>
      <c r="P195" s="3">
        <v>23862000</v>
      </c>
      <c r="Q195" s="3" t="str">
        <f t="shared" ref="Q195:Q258" si="27">IF(P195=0,"Batal/Refund","Normal")</f>
        <v>Normal</v>
      </c>
      <c r="R195" s="2" t="s">
        <v>38</v>
      </c>
      <c r="S195" s="2" t="s">
        <v>22</v>
      </c>
      <c r="T195" s="2" t="s">
        <v>77</v>
      </c>
      <c r="U195">
        <f t="shared" si="26"/>
        <v>1</v>
      </c>
    </row>
    <row r="196" spans="1:21">
      <c r="A196" s="2" t="s">
        <v>424</v>
      </c>
      <c r="B196" s="2" t="s">
        <v>167</v>
      </c>
      <c r="C196" s="2" t="str">
        <f t="shared" si="21"/>
        <v>19/07/2026</v>
      </c>
      <c r="D196" s="5">
        <f t="shared" si="22"/>
        <v>46222</v>
      </c>
      <c r="E196" s="2" t="s">
        <v>425</v>
      </c>
      <c r="F196" s="2" t="str">
        <f t="shared" si="23"/>
        <v>Tangerang</v>
      </c>
      <c r="G196" s="2" t="s">
        <v>27</v>
      </c>
      <c r="H196" s="2" t="str">
        <f t="shared" si="24"/>
        <v>Vino Bastian G.</v>
      </c>
      <c r="I196" s="2" t="s">
        <v>341</v>
      </c>
      <c r="J196" s="2" t="str">
        <f t="shared" si="25"/>
        <v>Siska Saputra</v>
      </c>
      <c r="K196" s="2" t="s">
        <v>19</v>
      </c>
      <c r="L196" s="2" t="s">
        <v>20</v>
      </c>
      <c r="M196" s="2">
        <v>1</v>
      </c>
      <c r="N196" s="3">
        <v>33500000</v>
      </c>
      <c r="O196" s="3">
        <v>1005000</v>
      </c>
      <c r="P196" s="3">
        <v>0</v>
      </c>
      <c r="Q196" s="3" t="str">
        <f t="shared" si="27"/>
        <v>Batal/Refund</v>
      </c>
      <c r="R196" s="2" t="s">
        <v>29</v>
      </c>
      <c r="S196" s="2" t="s">
        <v>22</v>
      </c>
      <c r="T196" s="2" t="s">
        <v>77</v>
      </c>
      <c r="U196">
        <f t="shared" si="26"/>
        <v>1</v>
      </c>
    </row>
    <row r="197" spans="1:21">
      <c r="A197" s="2" t="s">
        <v>426</v>
      </c>
      <c r="B197" s="2" t="s">
        <v>108</v>
      </c>
      <c r="C197" s="2" t="str">
        <f t="shared" si="21"/>
        <v>2026-07-18</v>
      </c>
      <c r="D197" s="5">
        <f t="shared" si="22"/>
        <v>46221</v>
      </c>
      <c r="E197" s="2" t="s">
        <v>16</v>
      </c>
      <c r="F197" s="2" t="str">
        <f t="shared" si="23"/>
        <v>Cibubur</v>
      </c>
      <c r="G197" s="2" t="s">
        <v>27</v>
      </c>
      <c r="H197" s="2" t="str">
        <f t="shared" si="24"/>
        <v>Vino Bastian G.</v>
      </c>
      <c r="I197" s="2" t="s">
        <v>103</v>
      </c>
      <c r="J197" s="2" t="str">
        <f t="shared" si="25"/>
        <v>Qori Lestari</v>
      </c>
      <c r="K197" s="2" t="s">
        <v>36</v>
      </c>
      <c r="L197" s="2" t="s">
        <v>37</v>
      </c>
      <c r="M197" s="2">
        <v>1</v>
      </c>
      <c r="N197" s="3">
        <v>22300000</v>
      </c>
      <c r="O197" s="3">
        <v>0</v>
      </c>
      <c r="P197" s="3">
        <v>22300000</v>
      </c>
      <c r="Q197" s="3" t="str">
        <f t="shared" si="27"/>
        <v>Normal</v>
      </c>
      <c r="R197" s="2" t="s">
        <v>29</v>
      </c>
      <c r="S197" s="2" t="s">
        <v>22</v>
      </c>
      <c r="T197" s="2" t="s">
        <v>30</v>
      </c>
      <c r="U197">
        <f t="shared" si="26"/>
        <v>1</v>
      </c>
    </row>
    <row r="198" spans="1:21">
      <c r="A198" s="2" t="s">
        <v>56</v>
      </c>
      <c r="B198" s="2" t="s">
        <v>57</v>
      </c>
      <c r="C198" s="2" t="str">
        <f t="shared" si="21"/>
        <v>2026-07-17</v>
      </c>
      <c r="D198" s="5">
        <f t="shared" si="22"/>
        <v>46220</v>
      </c>
      <c r="E198" s="2" t="s">
        <v>16</v>
      </c>
      <c r="F198" s="2" t="str">
        <f t="shared" si="23"/>
        <v>Cibubur</v>
      </c>
      <c r="G198" s="2" t="s">
        <v>58</v>
      </c>
      <c r="H198" s="2" t="str">
        <f t="shared" si="24"/>
        <v>Umi Kalsum</v>
      </c>
      <c r="I198" s="2" t="s">
        <v>59</v>
      </c>
      <c r="J198" s="2" t="str">
        <f t="shared" si="25"/>
        <v>Putra Kusuma</v>
      </c>
      <c r="K198" s="2" t="s">
        <v>60</v>
      </c>
      <c r="L198" s="2" t="s">
        <v>61</v>
      </c>
      <c r="M198" s="2">
        <v>1</v>
      </c>
      <c r="N198" s="3">
        <v>21500000</v>
      </c>
      <c r="O198" s="3">
        <v>645000</v>
      </c>
      <c r="P198" s="3">
        <v>20855000</v>
      </c>
      <c r="Q198" s="3" t="str">
        <f t="shared" si="27"/>
        <v>Normal</v>
      </c>
      <c r="R198" s="2" t="s">
        <v>62</v>
      </c>
      <c r="S198" s="2" t="s">
        <v>22</v>
      </c>
      <c r="T198" s="2" t="s">
        <v>30</v>
      </c>
      <c r="U198">
        <f t="shared" si="26"/>
        <v>1</v>
      </c>
    </row>
    <row r="199" spans="1:21">
      <c r="A199" s="2" t="s">
        <v>427</v>
      </c>
      <c r="B199" s="2" t="s">
        <v>111</v>
      </c>
      <c r="C199" s="2" t="str">
        <f t="shared" si="21"/>
        <v>14/07/2026</v>
      </c>
      <c r="D199" s="5">
        <f t="shared" si="22"/>
        <v>46217</v>
      </c>
      <c r="E199" s="2" t="s">
        <v>182</v>
      </c>
      <c r="F199" s="2" t="str">
        <f t="shared" si="23"/>
        <v>Bogor</v>
      </c>
      <c r="G199" s="2" t="s">
        <v>34</v>
      </c>
      <c r="H199" s="2" t="str">
        <f t="shared" si="24"/>
        <v>Joko Widodo S.</v>
      </c>
      <c r="I199" s="2" t="s">
        <v>428</v>
      </c>
      <c r="J199" s="2" t="str">
        <f t="shared" si="25"/>
        <v>Putra Anggraini</v>
      </c>
      <c r="K199" s="2" t="s">
        <v>19</v>
      </c>
      <c r="L199" s="2" t="s">
        <v>20</v>
      </c>
      <c r="M199" s="2">
        <v>1</v>
      </c>
      <c r="N199" s="3">
        <v>33500000</v>
      </c>
      <c r="O199" s="3">
        <v>1675000</v>
      </c>
      <c r="P199" s="3">
        <v>31825000</v>
      </c>
      <c r="Q199" s="3" t="str">
        <f t="shared" si="27"/>
        <v>Normal</v>
      </c>
      <c r="R199" s="2" t="s">
        <v>62</v>
      </c>
      <c r="S199" s="2" t="s">
        <v>22</v>
      </c>
      <c r="T199" s="2" t="s">
        <v>39</v>
      </c>
      <c r="U199">
        <f t="shared" si="26"/>
        <v>1</v>
      </c>
    </row>
    <row r="200" spans="1:21">
      <c r="A200" s="2" t="s">
        <v>429</v>
      </c>
      <c r="B200" s="2" t="s">
        <v>15</v>
      </c>
      <c r="C200" s="2" t="str">
        <f t="shared" ref="C200:C263" si="28">SUBSTITUTE(SUBSTITUTE(SUBSTITUTE(SUBSTITUTE(SUBSTITUTE(SUBSTITUTE(SUBSTITUTE(SUBSTITUTE(SUBSTITUTE(SUBSTITUTE(SUBSTITUTE(SUBSTITUTE(B200," Januari ","/01/")," Februari ","/02/")," Maret ","/03/")," April ","/04/")," Mei ","/05/")," Juni ","/06/")," Juli ","/07/")," Agustus ","/08/")," September ","/09/")," Oktober ","/10/")," November ","/11/")," Desember ","/12/")</f>
        <v>2026-07-14</v>
      </c>
      <c r="D200" s="5">
        <f t="shared" ref="D200:D263" si="29">IFERROR(DATE(VALUE(LEFT(C200,4)),VALUE(MID(C200,6,2)),VALUE(RIGHT(C200,2))),DATE(VALUE(RIGHT(C200,4)),VALUE(MID(C200,4,2)),VALUE(LEFT(C200,2))))</f>
        <v>46217</v>
      </c>
      <c r="E200" s="2" t="s">
        <v>148</v>
      </c>
      <c r="F200" s="2" t="str">
        <f t="shared" ref="F200:F263" si="30">PROPER(TRIM(SUBSTITUTE(SUBSTITUTE(E200,"Jaksel","Jakarta Selatan"),"Tangerang Kota","Tangerang")))</f>
        <v>Cikarang</v>
      </c>
      <c r="G200" s="2" t="s">
        <v>27</v>
      </c>
      <c r="H200" s="2" t="str">
        <f t="shared" ref="H200:H263" si="31">IF(G200="","Unknown",G200)</f>
        <v>Vino Bastian G.</v>
      </c>
      <c r="I200" s="2" t="s">
        <v>347</v>
      </c>
      <c r="J200" s="2" t="str">
        <f t="shared" ref="J200:J263" si="32">IF(I200="","Unknown",I200)</f>
        <v>Fitri Lestari</v>
      </c>
      <c r="K200" s="2" t="s">
        <v>152</v>
      </c>
      <c r="L200" s="2" t="s">
        <v>153</v>
      </c>
      <c r="M200" s="2">
        <v>1</v>
      </c>
      <c r="N200" s="3">
        <v>27400000</v>
      </c>
      <c r="O200" s="3">
        <v>0</v>
      </c>
      <c r="P200" s="3">
        <v>27400000</v>
      </c>
      <c r="Q200" s="3" t="str">
        <f t="shared" si="27"/>
        <v>Normal</v>
      </c>
      <c r="R200" s="2" t="s">
        <v>46</v>
      </c>
      <c r="S200" s="2" t="s">
        <v>22</v>
      </c>
      <c r="T200" s="2" t="s">
        <v>77</v>
      </c>
      <c r="U200">
        <f t="shared" si="26"/>
        <v>1</v>
      </c>
    </row>
    <row r="201" spans="1:21">
      <c r="A201" s="2" t="s">
        <v>430</v>
      </c>
      <c r="B201" s="2" t="s">
        <v>108</v>
      </c>
      <c r="C201" s="2" t="str">
        <f t="shared" si="28"/>
        <v>2026-07-18</v>
      </c>
      <c r="D201" s="5">
        <f t="shared" si="29"/>
        <v>46221</v>
      </c>
      <c r="E201" s="2" t="s">
        <v>112</v>
      </c>
      <c r="F201" s="2" t="str">
        <f t="shared" si="30"/>
        <v>Jakarta Timur</v>
      </c>
      <c r="G201" s="2" t="s">
        <v>58</v>
      </c>
      <c r="H201" s="2" t="str">
        <f t="shared" si="31"/>
        <v>Umi Kalsum</v>
      </c>
      <c r="I201" s="2" t="s">
        <v>199</v>
      </c>
      <c r="J201" s="2" t="str">
        <f t="shared" si="32"/>
        <v>Siska Anggraini</v>
      </c>
      <c r="K201" s="2" t="s">
        <v>19</v>
      </c>
      <c r="L201" s="2" t="s">
        <v>20</v>
      </c>
      <c r="M201" s="2">
        <v>1</v>
      </c>
      <c r="N201" s="3">
        <v>33500000</v>
      </c>
      <c r="O201" s="3">
        <v>0</v>
      </c>
      <c r="P201" s="3">
        <v>33500000</v>
      </c>
      <c r="Q201" s="3" t="str">
        <f t="shared" si="27"/>
        <v>Normal</v>
      </c>
      <c r="R201" s="2" t="s">
        <v>46</v>
      </c>
      <c r="S201" s="2" t="s">
        <v>22</v>
      </c>
      <c r="T201" s="2" t="s">
        <v>23</v>
      </c>
      <c r="U201">
        <f t="shared" si="26"/>
        <v>1</v>
      </c>
    </row>
    <row r="202" spans="1:21">
      <c r="A202" s="2" t="s">
        <v>431</v>
      </c>
      <c r="B202" s="2" t="s">
        <v>57</v>
      </c>
      <c r="C202" s="2" t="str">
        <f t="shared" si="28"/>
        <v>2026-07-17</v>
      </c>
      <c r="D202" s="5">
        <f t="shared" si="29"/>
        <v>46220</v>
      </c>
      <c r="E202" s="2" t="s">
        <v>112</v>
      </c>
      <c r="F202" s="2" t="str">
        <f t="shared" si="30"/>
        <v>Jakarta Timur</v>
      </c>
      <c r="G202" s="2" t="s">
        <v>66</v>
      </c>
      <c r="H202" s="2" t="str">
        <f t="shared" si="31"/>
        <v>Puji Lestari</v>
      </c>
      <c r="I202" s="2" t="s">
        <v>432</v>
      </c>
      <c r="J202" s="2" t="str">
        <f t="shared" si="32"/>
        <v>Siska Ramadhan</v>
      </c>
      <c r="K202" s="2" t="s">
        <v>44</v>
      </c>
      <c r="L202" s="2" t="s">
        <v>45</v>
      </c>
      <c r="M202" s="2">
        <v>1</v>
      </c>
      <c r="N202" s="3">
        <v>24600000</v>
      </c>
      <c r="O202" s="3">
        <v>246000</v>
      </c>
      <c r="P202" s="3">
        <v>24354000</v>
      </c>
      <c r="Q202" s="3" t="str">
        <f t="shared" si="27"/>
        <v>Normal</v>
      </c>
      <c r="R202" s="2" t="s">
        <v>21</v>
      </c>
      <c r="S202" s="2" t="s">
        <v>22</v>
      </c>
      <c r="T202" s="2" t="s">
        <v>30</v>
      </c>
      <c r="U202">
        <f t="shared" si="26"/>
        <v>1</v>
      </c>
    </row>
    <row r="203" spans="1:21">
      <c r="A203" s="2" t="s">
        <v>433</v>
      </c>
      <c r="B203" s="2" t="s">
        <v>57</v>
      </c>
      <c r="C203" s="2" t="str">
        <f t="shared" si="28"/>
        <v>2026-07-17</v>
      </c>
      <c r="D203" s="5">
        <f t="shared" si="29"/>
        <v>46220</v>
      </c>
      <c r="E203" s="2" t="s">
        <v>48</v>
      </c>
      <c r="F203" s="2" t="str">
        <f t="shared" si="30"/>
        <v>Jakarta Selatan</v>
      </c>
      <c r="G203" s="2" t="s">
        <v>17</v>
      </c>
      <c r="H203" s="2" t="str">
        <f t="shared" si="31"/>
        <v>Taufik Hidayat</v>
      </c>
      <c r="I203" s="2" t="s">
        <v>280</v>
      </c>
      <c r="J203" s="2" t="str">
        <f t="shared" si="32"/>
        <v>Made Hidayat</v>
      </c>
      <c r="K203" s="2" t="s">
        <v>19</v>
      </c>
      <c r="L203" s="2" t="s">
        <v>20</v>
      </c>
      <c r="M203" s="2">
        <v>1</v>
      </c>
      <c r="N203" s="3">
        <v>33500000</v>
      </c>
      <c r="O203" s="3">
        <v>1005000</v>
      </c>
      <c r="P203" s="3">
        <v>32495000</v>
      </c>
      <c r="Q203" s="3" t="str">
        <f t="shared" si="27"/>
        <v>Normal</v>
      </c>
      <c r="R203" s="2" t="s">
        <v>29</v>
      </c>
      <c r="S203" s="2" t="s">
        <v>22</v>
      </c>
      <c r="T203" s="2" t="s">
        <v>39</v>
      </c>
      <c r="U203">
        <f t="shared" si="26"/>
        <v>1</v>
      </c>
    </row>
    <row r="204" spans="1:21">
      <c r="A204" s="2" t="s">
        <v>434</v>
      </c>
      <c r="B204" s="2" t="s">
        <v>111</v>
      </c>
      <c r="C204" s="2" t="str">
        <f t="shared" si="28"/>
        <v>14/07/2026</v>
      </c>
      <c r="D204" s="5">
        <f t="shared" si="29"/>
        <v>46217</v>
      </c>
      <c r="E204" s="2" t="s">
        <v>16</v>
      </c>
      <c r="F204" s="2" t="str">
        <f t="shared" si="30"/>
        <v>Cibubur</v>
      </c>
      <c r="G204" s="2" t="s">
        <v>58</v>
      </c>
      <c r="H204" s="2" t="str">
        <f t="shared" si="31"/>
        <v>Umi Kalsum</v>
      </c>
      <c r="I204" s="2" t="s">
        <v>236</v>
      </c>
      <c r="J204" s="2" t="str">
        <f t="shared" si="32"/>
        <v>Kevin Ramadhan</v>
      </c>
      <c r="K204" s="2" t="s">
        <v>60</v>
      </c>
      <c r="L204" s="2" t="s">
        <v>61</v>
      </c>
      <c r="M204" s="2">
        <v>1</v>
      </c>
      <c r="N204" s="3">
        <v>21500000</v>
      </c>
      <c r="O204" s="3">
        <v>215000</v>
      </c>
      <c r="P204" s="3">
        <v>21285000</v>
      </c>
      <c r="Q204" s="3" t="str">
        <f t="shared" si="27"/>
        <v>Normal</v>
      </c>
      <c r="R204" s="2" t="s">
        <v>29</v>
      </c>
      <c r="S204" s="2" t="s">
        <v>22</v>
      </c>
      <c r="T204" s="2" t="s">
        <v>23</v>
      </c>
      <c r="U204">
        <f t="shared" si="26"/>
        <v>1</v>
      </c>
    </row>
    <row r="205" spans="1:21">
      <c r="A205" s="2" t="s">
        <v>435</v>
      </c>
      <c r="B205" s="2" t="s">
        <v>125</v>
      </c>
      <c r="C205" s="2" t="str">
        <f t="shared" si="28"/>
        <v>16/07/2026</v>
      </c>
      <c r="D205" s="5">
        <f t="shared" si="29"/>
        <v>46219</v>
      </c>
      <c r="E205" s="2" t="s">
        <v>48</v>
      </c>
      <c r="F205" s="2" t="str">
        <f t="shared" si="30"/>
        <v>Jakarta Selatan</v>
      </c>
      <c r="G205" s="2" t="s">
        <v>58</v>
      </c>
      <c r="H205" s="2" t="str">
        <f t="shared" si="31"/>
        <v>Umi Kalsum</v>
      </c>
      <c r="I205" s="2" t="s">
        <v>223</v>
      </c>
      <c r="J205" s="2" t="str">
        <f t="shared" si="32"/>
        <v>Rendi Kusuma</v>
      </c>
      <c r="K205" s="2" t="s">
        <v>99</v>
      </c>
      <c r="L205" s="2" t="s">
        <v>100</v>
      </c>
      <c r="M205" s="2">
        <v>1</v>
      </c>
      <c r="N205" s="3">
        <v>29800000</v>
      </c>
      <c r="O205" s="3">
        <v>596000</v>
      </c>
      <c r="P205" s="3">
        <v>29204000</v>
      </c>
      <c r="Q205" s="3" t="str">
        <f t="shared" si="27"/>
        <v>Normal</v>
      </c>
      <c r="R205" s="2" t="s">
        <v>46</v>
      </c>
      <c r="S205" s="2" t="s">
        <v>22</v>
      </c>
      <c r="T205" s="2" t="s">
        <v>23</v>
      </c>
      <c r="U205">
        <f t="shared" si="26"/>
        <v>1</v>
      </c>
    </row>
    <row r="206" spans="1:21">
      <c r="A206" s="2" t="s">
        <v>436</v>
      </c>
      <c r="B206" s="2" t="s">
        <v>57</v>
      </c>
      <c r="C206" s="2" t="str">
        <f t="shared" si="28"/>
        <v>2026-07-17</v>
      </c>
      <c r="D206" s="5">
        <f t="shared" si="29"/>
        <v>46220</v>
      </c>
      <c r="E206" s="2" t="s">
        <v>16</v>
      </c>
      <c r="F206" s="2" t="str">
        <f t="shared" si="30"/>
        <v>Cibubur</v>
      </c>
      <c r="G206" s="2" t="s">
        <v>168</v>
      </c>
      <c r="H206" s="2" t="str">
        <f t="shared" si="31"/>
        <v>Mira Anjani</v>
      </c>
      <c r="I206" s="2" t="s">
        <v>437</v>
      </c>
      <c r="J206" s="2" t="str">
        <f t="shared" si="32"/>
        <v>Lala Ramadhan</v>
      </c>
      <c r="K206" s="2" t="s">
        <v>68</v>
      </c>
      <c r="L206" s="2" t="s">
        <v>69</v>
      </c>
      <c r="M206" s="2">
        <v>1</v>
      </c>
      <c r="N206" s="3">
        <v>17800000</v>
      </c>
      <c r="O206" s="3">
        <v>0</v>
      </c>
      <c r="P206" s="3">
        <v>17800000</v>
      </c>
      <c r="Q206" s="3" t="str">
        <f t="shared" si="27"/>
        <v>Normal</v>
      </c>
      <c r="R206" s="2" t="s">
        <v>46</v>
      </c>
      <c r="S206" s="2" t="s">
        <v>22</v>
      </c>
      <c r="T206" s="2" t="s">
        <v>30</v>
      </c>
      <c r="U206">
        <f t="shared" si="26"/>
        <v>1</v>
      </c>
    </row>
    <row r="207" spans="1:21">
      <c r="A207" s="2" t="s">
        <v>107</v>
      </c>
      <c r="B207" s="2" t="s">
        <v>108</v>
      </c>
      <c r="C207" s="2" t="str">
        <f t="shared" si="28"/>
        <v>2026-07-18</v>
      </c>
      <c r="D207" s="5">
        <f t="shared" si="29"/>
        <v>46221</v>
      </c>
      <c r="E207" s="2" t="s">
        <v>97</v>
      </c>
      <c r="F207" s="2" t="str">
        <f t="shared" si="30"/>
        <v>Serang</v>
      </c>
      <c r="G207" s="2" t="s">
        <v>42</v>
      </c>
      <c r="H207" s="2" t="str">
        <f t="shared" si="31"/>
        <v>Lina Marlina</v>
      </c>
      <c r="I207" s="2" t="s">
        <v>109</v>
      </c>
      <c r="J207" s="2" t="str">
        <f t="shared" si="32"/>
        <v>Irfan Firmansyah</v>
      </c>
      <c r="K207" s="2" t="s">
        <v>60</v>
      </c>
      <c r="L207" s="2" t="s">
        <v>61</v>
      </c>
      <c r="M207" s="2">
        <v>1</v>
      </c>
      <c r="N207" s="3">
        <v>21500000</v>
      </c>
      <c r="O207" s="3">
        <v>215000</v>
      </c>
      <c r="P207" s="3">
        <v>21285000</v>
      </c>
      <c r="Q207" s="3" t="str">
        <f t="shared" si="27"/>
        <v>Normal</v>
      </c>
      <c r="R207" s="2" t="s">
        <v>38</v>
      </c>
      <c r="S207" s="2" t="s">
        <v>22</v>
      </c>
      <c r="T207" s="2" t="s">
        <v>77</v>
      </c>
      <c r="U207">
        <f t="shared" si="26"/>
        <v>1</v>
      </c>
    </row>
    <row r="208" spans="1:21">
      <c r="A208" s="2" t="s">
        <v>438</v>
      </c>
      <c r="B208" s="2" t="s">
        <v>108</v>
      </c>
      <c r="C208" s="2" t="str">
        <f t="shared" si="28"/>
        <v>2026-07-18</v>
      </c>
      <c r="D208" s="5">
        <f t="shared" si="29"/>
        <v>46221</v>
      </c>
      <c r="E208" s="2" t="s">
        <v>26</v>
      </c>
      <c r="F208" s="2" t="str">
        <f t="shared" si="30"/>
        <v>Sukabumi</v>
      </c>
      <c r="G208" s="2" t="s">
        <v>113</v>
      </c>
      <c r="H208" s="2" t="str">
        <f t="shared" si="31"/>
        <v>Lukman Hakim</v>
      </c>
      <c r="I208" s="2" t="s">
        <v>355</v>
      </c>
      <c r="J208" s="2" t="str">
        <f t="shared" si="32"/>
        <v>Galih Maharani</v>
      </c>
      <c r="K208" s="2" t="s">
        <v>19</v>
      </c>
      <c r="L208" s="2" t="s">
        <v>20</v>
      </c>
      <c r="M208" s="2">
        <v>1</v>
      </c>
      <c r="N208" s="3">
        <v>33500000</v>
      </c>
      <c r="O208" s="3">
        <v>0</v>
      </c>
      <c r="P208" s="3">
        <v>33500000</v>
      </c>
      <c r="Q208" s="3" t="str">
        <f t="shared" si="27"/>
        <v>Normal</v>
      </c>
      <c r="R208" s="2" t="s">
        <v>38</v>
      </c>
      <c r="S208" s="2" t="s">
        <v>87</v>
      </c>
      <c r="T208" s="2" t="s">
        <v>39</v>
      </c>
      <c r="U208">
        <f t="shared" si="26"/>
        <v>1</v>
      </c>
    </row>
    <row r="209" spans="1:21">
      <c r="A209" s="2" t="s">
        <v>439</v>
      </c>
      <c r="B209" s="2" t="s">
        <v>211</v>
      </c>
      <c r="C209" s="2" t="str">
        <f t="shared" si="28"/>
        <v>17/07/2026</v>
      </c>
      <c r="D209" s="5">
        <f t="shared" si="29"/>
        <v>46220</v>
      </c>
      <c r="E209" s="2" t="s">
        <v>182</v>
      </c>
      <c r="F209" s="2" t="str">
        <f t="shared" si="30"/>
        <v>Bogor</v>
      </c>
      <c r="G209" s="2" t="s">
        <v>168</v>
      </c>
      <c r="H209" s="2" t="str">
        <f t="shared" si="31"/>
        <v>Mira Anjani</v>
      </c>
      <c r="I209" s="2" t="s">
        <v>202</v>
      </c>
      <c r="J209" s="2" t="str">
        <f t="shared" si="32"/>
        <v>Citra Maharani</v>
      </c>
      <c r="K209" s="2" t="s">
        <v>19</v>
      </c>
      <c r="L209" s="2" t="s">
        <v>20</v>
      </c>
      <c r="M209" s="2">
        <v>1</v>
      </c>
      <c r="N209" s="3">
        <v>33500000</v>
      </c>
      <c r="O209" s="3">
        <v>1005000</v>
      </c>
      <c r="P209" s="3">
        <v>32495000</v>
      </c>
      <c r="Q209" s="3" t="str">
        <f t="shared" si="27"/>
        <v>Normal</v>
      </c>
      <c r="R209" s="2" t="s">
        <v>38</v>
      </c>
      <c r="S209" s="2" t="s">
        <v>22</v>
      </c>
      <c r="T209" s="2" t="s">
        <v>77</v>
      </c>
      <c r="U209">
        <f t="shared" si="26"/>
        <v>1</v>
      </c>
    </row>
    <row r="210" spans="1:21">
      <c r="A210" s="2" t="s">
        <v>440</v>
      </c>
      <c r="B210" s="2" t="s">
        <v>84</v>
      </c>
      <c r="C210" s="2" t="str">
        <f t="shared" si="28"/>
        <v>2026-07-15</v>
      </c>
      <c r="D210" s="5">
        <f t="shared" si="29"/>
        <v>46218</v>
      </c>
      <c r="E210" s="2" t="s">
        <v>148</v>
      </c>
      <c r="F210" s="2" t="str">
        <f t="shared" si="30"/>
        <v>Cikarang</v>
      </c>
      <c r="G210" s="2" t="s">
        <v>66</v>
      </c>
      <c r="H210" s="2" t="str">
        <f t="shared" si="31"/>
        <v>Puji Lestari</v>
      </c>
      <c r="I210" s="2" t="s">
        <v>441</v>
      </c>
      <c r="J210" s="2" t="str">
        <f t="shared" si="32"/>
        <v>Nia Kusuma</v>
      </c>
      <c r="K210" s="2" t="s">
        <v>99</v>
      </c>
      <c r="L210" s="2" t="s">
        <v>100</v>
      </c>
      <c r="M210" s="2">
        <v>1</v>
      </c>
      <c r="N210" s="3">
        <v>29800000</v>
      </c>
      <c r="O210" s="3">
        <v>1490000</v>
      </c>
      <c r="P210" s="3">
        <v>28310000</v>
      </c>
      <c r="Q210" s="3" t="str">
        <f t="shared" si="27"/>
        <v>Normal</v>
      </c>
      <c r="R210" s="2" t="s">
        <v>62</v>
      </c>
      <c r="S210" s="2" t="s">
        <v>22</v>
      </c>
      <c r="T210" s="2" t="s">
        <v>23</v>
      </c>
      <c r="U210">
        <f t="shared" si="26"/>
        <v>1</v>
      </c>
    </row>
    <row r="211" spans="1:21">
      <c r="A211" s="2" t="s">
        <v>442</v>
      </c>
      <c r="B211" s="2" t="s">
        <v>108</v>
      </c>
      <c r="C211" s="2" t="str">
        <f t="shared" si="28"/>
        <v>2026-07-18</v>
      </c>
      <c r="D211" s="5">
        <f t="shared" si="29"/>
        <v>46221</v>
      </c>
      <c r="E211" s="2" t="s">
        <v>148</v>
      </c>
      <c r="F211" s="2" t="str">
        <f t="shared" si="30"/>
        <v>Cikarang</v>
      </c>
      <c r="G211" s="2" t="s">
        <v>113</v>
      </c>
      <c r="H211" s="2" t="str">
        <f t="shared" si="31"/>
        <v>Lukman Hakim</v>
      </c>
      <c r="I211" s="2" t="s">
        <v>178</v>
      </c>
      <c r="J211" s="2" t="str">
        <f t="shared" si="32"/>
        <v>Siska Lestari</v>
      </c>
      <c r="K211" s="2" t="s">
        <v>99</v>
      </c>
      <c r="L211" s="2" t="s">
        <v>100</v>
      </c>
      <c r="M211" s="2">
        <v>1</v>
      </c>
      <c r="N211" s="3">
        <v>29800000</v>
      </c>
      <c r="O211" s="3">
        <v>298000</v>
      </c>
      <c r="P211" s="3">
        <v>29502000</v>
      </c>
      <c r="Q211" s="3" t="str">
        <f t="shared" si="27"/>
        <v>Normal</v>
      </c>
      <c r="R211" s="2" t="s">
        <v>29</v>
      </c>
      <c r="S211" s="2" t="s">
        <v>22</v>
      </c>
      <c r="T211" s="2" t="s">
        <v>77</v>
      </c>
      <c r="U211">
        <f t="shared" si="26"/>
        <v>1</v>
      </c>
    </row>
    <row r="212" spans="1:21">
      <c r="A212" s="2" t="s">
        <v>443</v>
      </c>
      <c r="B212" s="2" t="s">
        <v>125</v>
      </c>
      <c r="C212" s="2" t="str">
        <f t="shared" si="28"/>
        <v>16/07/2026</v>
      </c>
      <c r="D212" s="5">
        <f t="shared" si="29"/>
        <v>46219</v>
      </c>
      <c r="E212" s="2" t="s">
        <v>97</v>
      </c>
      <c r="F212" s="2" t="str">
        <f t="shared" si="30"/>
        <v>Serang</v>
      </c>
      <c r="G212" s="2" t="s">
        <v>145</v>
      </c>
      <c r="H212" s="2" t="str">
        <f t="shared" si="31"/>
        <v>Doni Saputra</v>
      </c>
      <c r="I212" s="2" t="s">
        <v>444</v>
      </c>
      <c r="J212" s="2" t="str">
        <f t="shared" si="32"/>
        <v>Budi Wijaya</v>
      </c>
      <c r="K212" s="2" t="s">
        <v>36</v>
      </c>
      <c r="L212" s="2" t="s">
        <v>37</v>
      </c>
      <c r="M212" s="2">
        <v>1</v>
      </c>
      <c r="N212" s="3">
        <v>22300000</v>
      </c>
      <c r="O212" s="3">
        <v>1115000</v>
      </c>
      <c r="P212" s="3">
        <v>21185000</v>
      </c>
      <c r="Q212" s="3" t="str">
        <f t="shared" si="27"/>
        <v>Normal</v>
      </c>
      <c r="R212" s="2" t="s">
        <v>38</v>
      </c>
      <c r="S212" s="2" t="s">
        <v>22</v>
      </c>
      <c r="T212" s="2" t="s">
        <v>77</v>
      </c>
      <c r="U212">
        <f t="shared" si="26"/>
        <v>1</v>
      </c>
    </row>
    <row r="213" spans="1:21">
      <c r="A213" s="2" t="s">
        <v>445</v>
      </c>
      <c r="B213" s="2" t="s">
        <v>125</v>
      </c>
      <c r="C213" s="2" t="str">
        <f t="shared" si="28"/>
        <v>16/07/2026</v>
      </c>
      <c r="D213" s="5">
        <f t="shared" si="29"/>
        <v>46219</v>
      </c>
      <c r="E213" s="2" t="s">
        <v>71</v>
      </c>
      <c r="F213" s="2" t="str">
        <f t="shared" si="30"/>
        <v>Bekasi</v>
      </c>
      <c r="G213" s="2" t="s">
        <v>242</v>
      </c>
      <c r="H213" s="2" t="str">
        <f t="shared" si="31"/>
        <v>Rudi Hartono</v>
      </c>
      <c r="I213" s="2" t="s">
        <v>138</v>
      </c>
      <c r="J213" s="2" t="str">
        <f t="shared" si="32"/>
        <v>Tono Wijaya</v>
      </c>
      <c r="K213" s="2" t="s">
        <v>91</v>
      </c>
      <c r="L213" s="2" t="s">
        <v>92</v>
      </c>
      <c r="M213" s="2">
        <v>2</v>
      </c>
      <c r="N213" s="3">
        <v>26900000</v>
      </c>
      <c r="O213" s="3">
        <v>538000</v>
      </c>
      <c r="P213" s="3">
        <v>53262000</v>
      </c>
      <c r="Q213" s="3" t="str">
        <f t="shared" si="27"/>
        <v>Normal</v>
      </c>
      <c r="R213" s="2" t="s">
        <v>29</v>
      </c>
      <c r="S213" s="2" t="s">
        <v>22</v>
      </c>
      <c r="T213" s="2" t="s">
        <v>23</v>
      </c>
      <c r="U213">
        <f t="shared" si="26"/>
        <v>1</v>
      </c>
    </row>
    <row r="214" spans="1:21">
      <c r="A214" s="2" t="s">
        <v>447</v>
      </c>
      <c r="B214" s="2" t="s">
        <v>140</v>
      </c>
      <c r="C214" s="2" t="str">
        <f t="shared" si="28"/>
        <v>2026-07-19</v>
      </c>
      <c r="D214" s="5">
        <f t="shared" si="29"/>
        <v>46222</v>
      </c>
      <c r="E214" s="2" t="s">
        <v>71</v>
      </c>
      <c r="F214" s="2" t="str">
        <f t="shared" si="30"/>
        <v>Bekasi</v>
      </c>
      <c r="G214" s="2" t="s">
        <v>126</v>
      </c>
      <c r="H214" s="2" t="str">
        <f t="shared" si="31"/>
        <v>Oki Setiawan</v>
      </c>
      <c r="I214" s="2" t="s">
        <v>448</v>
      </c>
      <c r="J214" s="2" t="str">
        <f t="shared" si="32"/>
        <v>Qori Kusuma</v>
      </c>
      <c r="K214" s="2" t="s">
        <v>19</v>
      </c>
      <c r="L214" s="2" t="s">
        <v>20</v>
      </c>
      <c r="M214" s="2">
        <v>1</v>
      </c>
      <c r="N214" s="3">
        <v>33500000</v>
      </c>
      <c r="O214" s="3">
        <v>1675000</v>
      </c>
      <c r="P214" s="3">
        <v>31825000</v>
      </c>
      <c r="Q214" s="3" t="str">
        <f t="shared" si="27"/>
        <v>Normal</v>
      </c>
      <c r="R214" s="2" t="s">
        <v>29</v>
      </c>
      <c r="S214" s="2" t="s">
        <v>22</v>
      </c>
      <c r="T214" s="2" t="s">
        <v>77</v>
      </c>
      <c r="U214">
        <f t="shared" si="26"/>
        <v>1</v>
      </c>
    </row>
    <row r="215" spans="1:21">
      <c r="A215" s="2" t="s">
        <v>449</v>
      </c>
      <c r="B215" s="2" t="s">
        <v>15</v>
      </c>
      <c r="C215" s="2" t="str">
        <f t="shared" si="28"/>
        <v>2026-07-14</v>
      </c>
      <c r="D215" s="5">
        <f t="shared" si="29"/>
        <v>46217</v>
      </c>
      <c r="E215" s="2" t="s">
        <v>182</v>
      </c>
      <c r="F215" s="2" t="str">
        <f t="shared" si="30"/>
        <v>Bogor</v>
      </c>
      <c r="G215" s="2" t="s">
        <v>130</v>
      </c>
      <c r="H215" s="2" t="str">
        <f t="shared" si="31"/>
        <v>Indah Permata</v>
      </c>
      <c r="I215" s="2" t="s">
        <v>450</v>
      </c>
      <c r="J215" s="2" t="str">
        <f t="shared" si="32"/>
        <v>Jihan Anggraini</v>
      </c>
      <c r="K215" s="2" t="s">
        <v>152</v>
      </c>
      <c r="L215" s="2" t="s">
        <v>153</v>
      </c>
      <c r="M215" s="2">
        <v>1</v>
      </c>
      <c r="N215" s="3">
        <v>27400000</v>
      </c>
      <c r="O215" s="3">
        <v>548000</v>
      </c>
      <c r="P215" s="3">
        <v>26852000</v>
      </c>
      <c r="Q215" s="3" t="str">
        <f t="shared" si="27"/>
        <v>Normal</v>
      </c>
      <c r="R215" s="2" t="s">
        <v>29</v>
      </c>
      <c r="S215" s="2" t="s">
        <v>22</v>
      </c>
      <c r="T215" s="2" t="s">
        <v>30</v>
      </c>
      <c r="U215">
        <f t="shared" si="26"/>
        <v>1</v>
      </c>
    </row>
    <row r="216" spans="1:21">
      <c r="A216" s="2" t="s">
        <v>451</v>
      </c>
      <c r="B216" s="2" t="s">
        <v>125</v>
      </c>
      <c r="C216" s="2" t="str">
        <f t="shared" si="28"/>
        <v>16/07/2026</v>
      </c>
      <c r="D216" s="5">
        <f t="shared" si="29"/>
        <v>46219</v>
      </c>
      <c r="E216" s="2" t="s">
        <v>112</v>
      </c>
      <c r="F216" s="2" t="str">
        <f t="shared" si="30"/>
        <v>Jakarta Timur</v>
      </c>
      <c r="G216" s="2" t="s">
        <v>80</v>
      </c>
      <c r="H216" s="2" t="str">
        <f t="shared" si="31"/>
        <v>Kiki Amelia</v>
      </c>
      <c r="I216" s="2" t="s">
        <v>273</v>
      </c>
      <c r="J216" s="2" t="str">
        <f t="shared" si="32"/>
        <v>Irfan Wijaya</v>
      </c>
      <c r="K216" s="2" t="s">
        <v>68</v>
      </c>
      <c r="L216" s="2" t="s">
        <v>69</v>
      </c>
      <c r="M216" s="2">
        <v>1</v>
      </c>
      <c r="N216" s="3">
        <v>17800000</v>
      </c>
      <c r="O216" s="3">
        <v>0</v>
      </c>
      <c r="P216" s="3">
        <v>17800000</v>
      </c>
      <c r="Q216" s="3" t="str">
        <f t="shared" si="27"/>
        <v>Normal</v>
      </c>
      <c r="R216" s="2" t="s">
        <v>29</v>
      </c>
      <c r="S216" s="2" t="s">
        <v>22</v>
      </c>
      <c r="T216" s="2" t="s">
        <v>23</v>
      </c>
      <c r="U216">
        <f t="shared" si="26"/>
        <v>1</v>
      </c>
    </row>
    <row r="217" spans="1:21">
      <c r="A217" s="2" t="s">
        <v>452</v>
      </c>
      <c r="B217" s="2" t="s">
        <v>167</v>
      </c>
      <c r="C217" s="2" t="str">
        <f t="shared" si="28"/>
        <v>19/07/2026</v>
      </c>
      <c r="D217" s="5">
        <f t="shared" si="29"/>
        <v>46222</v>
      </c>
      <c r="E217" s="2" t="s">
        <v>65</v>
      </c>
      <c r="F217" s="2" t="str">
        <f t="shared" si="30"/>
        <v>Bandung</v>
      </c>
      <c r="G217" s="2" t="s">
        <v>201</v>
      </c>
      <c r="H217" s="2" t="str">
        <f t="shared" si="31"/>
        <v>Nanda Pratama</v>
      </c>
      <c r="I217" s="2" t="s">
        <v>238</v>
      </c>
      <c r="J217" s="2" t="str">
        <f t="shared" si="32"/>
        <v>Lala Maharani</v>
      </c>
      <c r="K217" s="2" t="s">
        <v>44</v>
      </c>
      <c r="L217" s="2" t="s">
        <v>45</v>
      </c>
      <c r="M217" s="2">
        <v>1</v>
      </c>
      <c r="N217" s="3">
        <v>24600000</v>
      </c>
      <c r="O217" s="3">
        <v>738000</v>
      </c>
      <c r="P217" s="3">
        <v>23862000</v>
      </c>
      <c r="Q217" s="3" t="str">
        <f t="shared" si="27"/>
        <v>Normal</v>
      </c>
      <c r="R217" s="2" t="s">
        <v>62</v>
      </c>
      <c r="S217" s="2" t="s">
        <v>22</v>
      </c>
      <c r="T217" s="2" t="s">
        <v>23</v>
      </c>
      <c r="U217">
        <f t="shared" si="26"/>
        <v>1</v>
      </c>
    </row>
    <row r="218" spans="1:21">
      <c r="A218" s="2" t="s">
        <v>453</v>
      </c>
      <c r="B218" s="2" t="s">
        <v>25</v>
      </c>
      <c r="C218" s="2" t="str">
        <f t="shared" si="28"/>
        <v>2026-07-16</v>
      </c>
      <c r="D218" s="5">
        <f t="shared" si="29"/>
        <v>46219</v>
      </c>
      <c r="E218" s="2" t="s">
        <v>26</v>
      </c>
      <c r="F218" s="2" t="str">
        <f t="shared" si="30"/>
        <v>Sukabumi</v>
      </c>
      <c r="G218" s="2" t="s">
        <v>98</v>
      </c>
      <c r="H218" s="2" t="str">
        <f t="shared" si="31"/>
        <v>Rangga Saputra</v>
      </c>
      <c r="I218" s="2" t="s">
        <v>454</v>
      </c>
      <c r="J218" s="2" t="str">
        <f t="shared" si="32"/>
        <v>Dewi Maharani</v>
      </c>
      <c r="K218" s="2" t="s">
        <v>142</v>
      </c>
      <c r="L218" s="2" t="s">
        <v>143</v>
      </c>
      <c r="M218" s="2">
        <v>1</v>
      </c>
      <c r="N218" s="3">
        <v>18900000</v>
      </c>
      <c r="O218" s="3">
        <v>378000</v>
      </c>
      <c r="P218" s="3">
        <v>18522000</v>
      </c>
      <c r="Q218" s="3" t="str">
        <f t="shared" si="27"/>
        <v>Normal</v>
      </c>
      <c r="R218" s="2" t="s">
        <v>29</v>
      </c>
      <c r="S218" s="2" t="s">
        <v>22</v>
      </c>
      <c r="T218" s="2" t="s">
        <v>77</v>
      </c>
      <c r="U218">
        <f t="shared" si="26"/>
        <v>1</v>
      </c>
    </row>
    <row r="219" spans="1:21">
      <c r="A219" s="2" t="s">
        <v>455</v>
      </c>
      <c r="B219" s="2" t="s">
        <v>211</v>
      </c>
      <c r="C219" s="2" t="str">
        <f t="shared" si="28"/>
        <v>17/07/2026</v>
      </c>
      <c r="D219" s="5">
        <f t="shared" si="29"/>
        <v>46220</v>
      </c>
      <c r="E219" s="2" t="s">
        <v>155</v>
      </c>
      <c r="F219" s="2" t="str">
        <f t="shared" si="30"/>
        <v>Tangerang</v>
      </c>
      <c r="G219" s="2" t="s">
        <v>113</v>
      </c>
      <c r="H219" s="2" t="str">
        <f t="shared" si="31"/>
        <v>Lukman Hakim</v>
      </c>
      <c r="I219" s="2" t="s">
        <v>127</v>
      </c>
      <c r="J219" s="2" t="str">
        <f t="shared" si="32"/>
        <v>Made Anggraini</v>
      </c>
      <c r="K219" s="2" t="s">
        <v>44</v>
      </c>
      <c r="L219" s="2" t="s">
        <v>45</v>
      </c>
      <c r="M219" s="2">
        <v>1</v>
      </c>
      <c r="N219" s="3">
        <v>24600000</v>
      </c>
      <c r="O219" s="3">
        <v>0</v>
      </c>
      <c r="P219" s="3">
        <v>24600000</v>
      </c>
      <c r="Q219" s="3" t="str">
        <f t="shared" si="27"/>
        <v>Normal</v>
      </c>
      <c r="R219" s="2" t="s">
        <v>38</v>
      </c>
      <c r="S219" s="2" t="s">
        <v>22</v>
      </c>
      <c r="T219" s="2" t="s">
        <v>77</v>
      </c>
      <c r="U219">
        <f t="shared" si="26"/>
        <v>1</v>
      </c>
    </row>
    <row r="220" spans="1:21">
      <c r="A220" s="2" t="s">
        <v>456</v>
      </c>
      <c r="B220" s="2" t="s">
        <v>122</v>
      </c>
      <c r="C220" s="2" t="str">
        <f t="shared" si="28"/>
        <v>17/07/2026</v>
      </c>
      <c r="D220" s="5">
        <f t="shared" si="29"/>
        <v>46220</v>
      </c>
      <c r="E220" s="2" t="s">
        <v>33</v>
      </c>
      <c r="F220" s="2" t="str">
        <f t="shared" si="30"/>
        <v>Depok</v>
      </c>
      <c r="G220" s="2" t="s">
        <v>168</v>
      </c>
      <c r="H220" s="2" t="str">
        <f t="shared" si="31"/>
        <v>Mira Anjani</v>
      </c>
      <c r="I220" s="2" t="s">
        <v>81</v>
      </c>
      <c r="J220" s="2" t="str">
        <f t="shared" si="32"/>
        <v>Eko Kusuma</v>
      </c>
      <c r="K220" s="2" t="s">
        <v>19</v>
      </c>
      <c r="L220" s="2" t="s">
        <v>20</v>
      </c>
      <c r="M220" s="2">
        <v>1</v>
      </c>
      <c r="N220" s="3">
        <v>33500000</v>
      </c>
      <c r="O220" s="3">
        <v>0</v>
      </c>
      <c r="P220" s="3">
        <v>33500000</v>
      </c>
      <c r="Q220" s="3" t="str">
        <f t="shared" si="27"/>
        <v>Normal</v>
      </c>
      <c r="R220" s="2" t="s">
        <v>21</v>
      </c>
      <c r="S220" s="2" t="s">
        <v>82</v>
      </c>
      <c r="T220" s="2" t="s">
        <v>30</v>
      </c>
      <c r="U220">
        <f t="shared" si="26"/>
        <v>1</v>
      </c>
    </row>
    <row r="221" spans="1:21">
      <c r="A221" s="2" t="s">
        <v>457</v>
      </c>
      <c r="B221" s="2" t="s">
        <v>122</v>
      </c>
      <c r="C221" s="2" t="str">
        <f t="shared" si="28"/>
        <v>17/07/2026</v>
      </c>
      <c r="D221" s="5">
        <f t="shared" si="29"/>
        <v>46220</v>
      </c>
      <c r="E221" s="2" t="s">
        <v>16</v>
      </c>
      <c r="F221" s="2" t="str">
        <f t="shared" si="30"/>
        <v>Cibubur</v>
      </c>
      <c r="G221" s="2" t="s">
        <v>242</v>
      </c>
      <c r="H221" s="2" t="str">
        <f t="shared" si="31"/>
        <v>Rudi Hartono</v>
      </c>
      <c r="I221" s="2" t="s">
        <v>432</v>
      </c>
      <c r="J221" s="2" t="str">
        <f t="shared" si="32"/>
        <v>Siska Ramadhan</v>
      </c>
      <c r="K221" s="2" t="s">
        <v>99</v>
      </c>
      <c r="L221" s="2" t="s">
        <v>100</v>
      </c>
      <c r="M221" s="2">
        <v>1</v>
      </c>
      <c r="N221" s="3">
        <v>29800000</v>
      </c>
      <c r="O221" s="3">
        <v>0</v>
      </c>
      <c r="P221" s="3">
        <v>29800000</v>
      </c>
      <c r="Q221" s="3" t="str">
        <f t="shared" si="27"/>
        <v>Normal</v>
      </c>
      <c r="R221" s="2" t="s">
        <v>38</v>
      </c>
      <c r="S221" s="2" t="s">
        <v>22</v>
      </c>
      <c r="T221" s="2" t="s">
        <v>30</v>
      </c>
      <c r="U221">
        <f t="shared" si="26"/>
        <v>1</v>
      </c>
    </row>
    <row r="222" spans="1:21">
      <c r="A222" s="2" t="s">
        <v>458</v>
      </c>
      <c r="B222" s="2" t="s">
        <v>108</v>
      </c>
      <c r="C222" s="2" t="str">
        <f t="shared" si="28"/>
        <v>2026-07-18</v>
      </c>
      <c r="D222" s="5">
        <f t="shared" si="29"/>
        <v>46221</v>
      </c>
      <c r="E222" s="2" t="s">
        <v>112</v>
      </c>
      <c r="F222" s="2" t="str">
        <f t="shared" si="30"/>
        <v>Jakarta Timur</v>
      </c>
      <c r="G222" s="2" t="s">
        <v>75</v>
      </c>
      <c r="H222" s="2" t="str">
        <f t="shared" si="31"/>
        <v>Eka Putri</v>
      </c>
      <c r="I222" s="2" t="s">
        <v>406</v>
      </c>
      <c r="J222" s="2" t="str">
        <f t="shared" si="32"/>
        <v>Budi Saputra</v>
      </c>
      <c r="K222" s="2" t="s">
        <v>99</v>
      </c>
      <c r="L222" s="2" t="s">
        <v>100</v>
      </c>
      <c r="M222" s="2">
        <v>1</v>
      </c>
      <c r="N222" s="3">
        <v>29800000</v>
      </c>
      <c r="O222" s="3">
        <v>596000</v>
      </c>
      <c r="P222" s="3">
        <v>29204000</v>
      </c>
      <c r="Q222" s="3" t="str">
        <f t="shared" si="27"/>
        <v>Normal</v>
      </c>
      <c r="R222" s="2" t="s">
        <v>21</v>
      </c>
      <c r="S222" s="2" t="s">
        <v>22</v>
      </c>
      <c r="T222" s="2" t="s">
        <v>39</v>
      </c>
      <c r="U222">
        <f t="shared" si="26"/>
        <v>1</v>
      </c>
    </row>
    <row r="223" spans="1:21">
      <c r="A223" s="2" t="s">
        <v>459</v>
      </c>
      <c r="B223" s="2" t="s">
        <v>125</v>
      </c>
      <c r="C223" s="2" t="str">
        <f t="shared" si="28"/>
        <v>16/07/2026</v>
      </c>
      <c r="D223" s="5">
        <f t="shared" si="29"/>
        <v>46219</v>
      </c>
      <c r="E223" s="2" t="s">
        <v>48</v>
      </c>
      <c r="F223" s="2" t="str">
        <f t="shared" si="30"/>
        <v>Jakarta Selatan</v>
      </c>
      <c r="G223" s="2" t="s">
        <v>126</v>
      </c>
      <c r="H223" s="2" t="str">
        <f t="shared" si="31"/>
        <v>Oki Setiawan</v>
      </c>
      <c r="I223" s="2" t="s">
        <v>404</v>
      </c>
      <c r="J223" s="2" t="str">
        <f t="shared" si="32"/>
        <v>Eko Lestari</v>
      </c>
      <c r="K223" s="2" t="s">
        <v>51</v>
      </c>
      <c r="L223" s="2" t="s">
        <v>52</v>
      </c>
      <c r="M223" s="2">
        <v>1</v>
      </c>
      <c r="N223" s="3">
        <v>41000000</v>
      </c>
      <c r="O223" s="3">
        <v>0</v>
      </c>
      <c r="P223" s="3">
        <v>41000000</v>
      </c>
      <c r="Q223" s="3" t="str">
        <f t="shared" si="27"/>
        <v>Normal</v>
      </c>
      <c r="R223" s="2" t="s">
        <v>38</v>
      </c>
      <c r="S223" s="2" t="s">
        <v>22</v>
      </c>
      <c r="T223" s="2" t="s">
        <v>23</v>
      </c>
      <c r="U223">
        <f t="shared" si="26"/>
        <v>1</v>
      </c>
    </row>
    <row r="224" spans="1:21">
      <c r="A224" s="2" t="s">
        <v>460</v>
      </c>
      <c r="B224" s="2" t="s">
        <v>108</v>
      </c>
      <c r="C224" s="2" t="str">
        <f t="shared" si="28"/>
        <v>2026-07-18</v>
      </c>
      <c r="D224" s="5">
        <f t="shared" si="29"/>
        <v>46221</v>
      </c>
      <c r="E224" s="2" t="s">
        <v>65</v>
      </c>
      <c r="F224" s="2" t="str">
        <f t="shared" si="30"/>
        <v>Bandung</v>
      </c>
      <c r="G224" s="2" t="s">
        <v>54</v>
      </c>
      <c r="H224" s="2" t="str">
        <f t="shared" si="31"/>
        <v>Hadi Santoso</v>
      </c>
      <c r="I224" s="2" t="s">
        <v>461</v>
      </c>
      <c r="J224" s="2" t="str">
        <f t="shared" si="32"/>
        <v>Galih Saputra</v>
      </c>
      <c r="K224" s="2" t="s">
        <v>51</v>
      </c>
      <c r="L224" s="2" t="s">
        <v>52</v>
      </c>
      <c r="M224" s="2">
        <v>1</v>
      </c>
      <c r="N224" s="3">
        <v>41000000</v>
      </c>
      <c r="O224" s="3">
        <v>1230000</v>
      </c>
      <c r="P224" s="3">
        <v>39770000</v>
      </c>
      <c r="Q224" s="3" t="str">
        <f t="shared" si="27"/>
        <v>Normal</v>
      </c>
      <c r="R224" s="2" t="s">
        <v>46</v>
      </c>
      <c r="S224" s="2" t="s">
        <v>22</v>
      </c>
      <c r="T224" s="2" t="s">
        <v>39</v>
      </c>
      <c r="U224">
        <f t="shared" si="26"/>
        <v>1</v>
      </c>
    </row>
    <row r="225" spans="1:21">
      <c r="A225" s="2" t="s">
        <v>462</v>
      </c>
      <c r="B225" s="2" t="s">
        <v>84</v>
      </c>
      <c r="C225" s="2" t="str">
        <f t="shared" si="28"/>
        <v>2026-07-15</v>
      </c>
      <c r="D225" s="5">
        <f t="shared" si="29"/>
        <v>46218</v>
      </c>
      <c r="E225" s="2" t="s">
        <v>71</v>
      </c>
      <c r="F225" s="2" t="str">
        <f t="shared" si="30"/>
        <v>Bekasi</v>
      </c>
      <c r="G225" s="2" t="s">
        <v>113</v>
      </c>
      <c r="H225" s="2" t="str">
        <f t="shared" si="31"/>
        <v>Lukman Hakim</v>
      </c>
      <c r="I225" s="2" t="s">
        <v>372</v>
      </c>
      <c r="J225" s="2" t="str">
        <f t="shared" si="32"/>
        <v>Citra Anggraini</v>
      </c>
      <c r="K225" s="2" t="s">
        <v>60</v>
      </c>
      <c r="L225" s="2" t="s">
        <v>61</v>
      </c>
      <c r="M225" s="2">
        <v>2</v>
      </c>
      <c r="N225" s="3">
        <v>21500000</v>
      </c>
      <c r="O225" s="3">
        <v>430000</v>
      </c>
      <c r="P225" s="3">
        <v>42570000</v>
      </c>
      <c r="Q225" s="3" t="str">
        <f t="shared" si="27"/>
        <v>Normal</v>
      </c>
      <c r="R225" s="2" t="s">
        <v>62</v>
      </c>
      <c r="S225" s="2" t="s">
        <v>22</v>
      </c>
      <c r="T225" s="2" t="s">
        <v>77</v>
      </c>
      <c r="U225">
        <f t="shared" si="26"/>
        <v>1</v>
      </c>
    </row>
    <row r="226" spans="1:21">
      <c r="A226" s="2" t="s">
        <v>463</v>
      </c>
      <c r="B226" s="2" t="s">
        <v>84</v>
      </c>
      <c r="C226" s="2" t="str">
        <f t="shared" si="28"/>
        <v>2026-07-15</v>
      </c>
      <c r="D226" s="5">
        <f t="shared" si="29"/>
        <v>46218</v>
      </c>
      <c r="E226" s="2" t="s">
        <v>89</v>
      </c>
      <c r="F226" s="2" t="str">
        <f t="shared" si="30"/>
        <v>Bekasi</v>
      </c>
      <c r="G226" s="2" t="s">
        <v>113</v>
      </c>
      <c r="H226" s="2" t="str">
        <f t="shared" si="31"/>
        <v>Lukman Hakim</v>
      </c>
      <c r="I226" s="2" t="s">
        <v>464</v>
      </c>
      <c r="J226" s="2" t="str">
        <f t="shared" si="32"/>
        <v>Qori Wijaya</v>
      </c>
      <c r="K226" s="2" t="s">
        <v>60</v>
      </c>
      <c r="L226" s="2" t="s">
        <v>61</v>
      </c>
      <c r="M226" s="2">
        <v>1</v>
      </c>
      <c r="N226" s="3">
        <v>21500000</v>
      </c>
      <c r="O226" s="3">
        <v>215000</v>
      </c>
      <c r="P226" s="3">
        <v>21285000</v>
      </c>
      <c r="Q226" s="3" t="str">
        <f t="shared" si="27"/>
        <v>Normal</v>
      </c>
      <c r="R226" s="2" t="s">
        <v>46</v>
      </c>
      <c r="S226" s="2" t="s">
        <v>22</v>
      </c>
      <c r="T226" s="2" t="s">
        <v>30</v>
      </c>
      <c r="U226">
        <f t="shared" si="26"/>
        <v>1</v>
      </c>
    </row>
    <row r="227" spans="1:21">
      <c r="A227" s="2" t="s">
        <v>465</v>
      </c>
      <c r="B227" s="2" t="s">
        <v>108</v>
      </c>
      <c r="C227" s="2" t="str">
        <f t="shared" si="28"/>
        <v>2026-07-18</v>
      </c>
      <c r="D227" s="5">
        <f t="shared" si="29"/>
        <v>46221</v>
      </c>
      <c r="E227" s="2" t="s">
        <v>16</v>
      </c>
      <c r="F227" s="2" t="str">
        <f t="shared" si="30"/>
        <v>Cibubur</v>
      </c>
      <c r="G227" s="2" t="s">
        <v>72</v>
      </c>
      <c r="H227" s="2" t="str">
        <f t="shared" si="31"/>
        <v>Sari Dewi</v>
      </c>
      <c r="I227" s="2" t="s">
        <v>466</v>
      </c>
      <c r="J227" s="2" t="str">
        <f t="shared" si="32"/>
        <v>Nia Maharani</v>
      </c>
      <c r="K227" s="2" t="s">
        <v>19</v>
      </c>
      <c r="L227" s="2" t="s">
        <v>20</v>
      </c>
      <c r="M227" s="2">
        <v>1</v>
      </c>
      <c r="N227" s="3">
        <v>33500000</v>
      </c>
      <c r="O227" s="3">
        <v>1005000</v>
      </c>
      <c r="P227" s="3">
        <v>32495000</v>
      </c>
      <c r="Q227" s="3" t="str">
        <f t="shared" si="27"/>
        <v>Normal</v>
      </c>
      <c r="R227" s="2" t="s">
        <v>21</v>
      </c>
      <c r="S227" s="2" t="s">
        <v>22</v>
      </c>
      <c r="T227" s="2" t="s">
        <v>39</v>
      </c>
      <c r="U227">
        <f t="shared" si="26"/>
        <v>1</v>
      </c>
    </row>
    <row r="228" spans="1:21">
      <c r="A228" s="2" t="s">
        <v>467</v>
      </c>
      <c r="B228" s="2" t="s">
        <v>84</v>
      </c>
      <c r="C228" s="2" t="str">
        <f t="shared" si="28"/>
        <v>2026-07-15</v>
      </c>
      <c r="D228" s="5">
        <f t="shared" si="29"/>
        <v>46218</v>
      </c>
      <c r="E228" s="2" t="s">
        <v>85</v>
      </c>
      <c r="F228" s="2" t="str">
        <f t="shared" si="30"/>
        <v>Karawang</v>
      </c>
      <c r="G228" s="2" t="s">
        <v>75</v>
      </c>
      <c r="H228" s="2" t="str">
        <f t="shared" si="31"/>
        <v>Eka Putri</v>
      </c>
      <c r="I228" s="2" t="s">
        <v>468</v>
      </c>
      <c r="J228" s="2" t="str">
        <f t="shared" si="32"/>
        <v>Made Maharani</v>
      </c>
      <c r="K228" s="2" t="s">
        <v>99</v>
      </c>
      <c r="L228" s="2" t="s">
        <v>100</v>
      </c>
      <c r="M228" s="2">
        <v>1</v>
      </c>
      <c r="N228" s="3">
        <v>29800000</v>
      </c>
      <c r="O228" s="3">
        <v>596000</v>
      </c>
      <c r="P228" s="3">
        <v>29204000</v>
      </c>
      <c r="Q228" s="3" t="str">
        <f t="shared" si="27"/>
        <v>Normal</v>
      </c>
      <c r="R228" s="2" t="s">
        <v>62</v>
      </c>
      <c r="S228" s="2" t="s">
        <v>87</v>
      </c>
      <c r="T228" s="2" t="s">
        <v>39</v>
      </c>
      <c r="U228">
        <f t="shared" si="26"/>
        <v>1</v>
      </c>
    </row>
    <row r="229" spans="1:21">
      <c r="A229" s="2" t="s">
        <v>469</v>
      </c>
      <c r="B229" s="2" t="s">
        <v>84</v>
      </c>
      <c r="C229" s="2" t="str">
        <f t="shared" si="28"/>
        <v>2026-07-15</v>
      </c>
      <c r="D229" s="5">
        <f t="shared" si="29"/>
        <v>46218</v>
      </c>
      <c r="E229" s="2" t="s">
        <v>470</v>
      </c>
      <c r="F229" s="2" t="str">
        <f t="shared" si="30"/>
        <v>Tangerang</v>
      </c>
      <c r="G229" s="2" t="s">
        <v>130</v>
      </c>
      <c r="H229" s="2" t="str">
        <f t="shared" si="31"/>
        <v>Indah Permata</v>
      </c>
      <c r="I229" s="2" t="s">
        <v>116</v>
      </c>
      <c r="J229" s="2" t="str">
        <f t="shared" si="32"/>
        <v>Irfan Pratama</v>
      </c>
      <c r="K229" s="2" t="s">
        <v>99</v>
      </c>
      <c r="L229" s="2" t="s">
        <v>100</v>
      </c>
      <c r="M229" s="2">
        <v>2</v>
      </c>
      <c r="N229" s="3">
        <v>29800000</v>
      </c>
      <c r="O229" s="3">
        <v>2980000</v>
      </c>
      <c r="P229" s="3">
        <v>56620000</v>
      </c>
      <c r="Q229" s="3" t="str">
        <f t="shared" si="27"/>
        <v>Normal</v>
      </c>
      <c r="R229" s="2" t="s">
        <v>21</v>
      </c>
      <c r="S229" s="2" t="s">
        <v>22</v>
      </c>
      <c r="T229" s="2" t="s">
        <v>23</v>
      </c>
      <c r="U229">
        <f t="shared" si="26"/>
        <v>1</v>
      </c>
    </row>
    <row r="230" spans="1:21">
      <c r="A230" s="2" t="s">
        <v>471</v>
      </c>
      <c r="B230" s="2" t="s">
        <v>140</v>
      </c>
      <c r="C230" s="2" t="str">
        <f t="shared" si="28"/>
        <v>2026-07-19</v>
      </c>
      <c r="D230" s="5">
        <f t="shared" si="29"/>
        <v>46222</v>
      </c>
      <c r="E230" s="2" t="s">
        <v>148</v>
      </c>
      <c r="F230" s="2" t="str">
        <f t="shared" si="30"/>
        <v>Cikarang</v>
      </c>
      <c r="G230" s="2" t="s">
        <v>17</v>
      </c>
      <c r="H230" s="2" t="str">
        <f t="shared" si="31"/>
        <v>Taufik Hidayat</v>
      </c>
      <c r="I230" s="2" t="s">
        <v>238</v>
      </c>
      <c r="J230" s="2" t="str">
        <f t="shared" si="32"/>
        <v>Lala Maharani</v>
      </c>
      <c r="K230" s="2" t="s">
        <v>19</v>
      </c>
      <c r="L230" s="2" t="s">
        <v>20</v>
      </c>
      <c r="M230" s="2">
        <v>1</v>
      </c>
      <c r="N230" s="3">
        <v>33500000</v>
      </c>
      <c r="O230" s="3">
        <v>1005000</v>
      </c>
      <c r="P230" s="3">
        <v>32495000</v>
      </c>
      <c r="Q230" s="3" t="str">
        <f t="shared" si="27"/>
        <v>Normal</v>
      </c>
      <c r="R230" s="2" t="s">
        <v>21</v>
      </c>
      <c r="S230" s="2" t="s">
        <v>22</v>
      </c>
      <c r="T230" s="2" t="s">
        <v>23</v>
      </c>
      <c r="U230">
        <f t="shared" si="26"/>
        <v>1</v>
      </c>
    </row>
    <row r="231" spans="1:21">
      <c r="A231" s="2" t="s">
        <v>472</v>
      </c>
      <c r="B231" s="2" t="s">
        <v>189</v>
      </c>
      <c r="C231" s="2" t="str">
        <f t="shared" si="28"/>
        <v>14/07/2026</v>
      </c>
      <c r="D231" s="5">
        <f t="shared" si="29"/>
        <v>46217</v>
      </c>
      <c r="E231" s="2" t="s">
        <v>85</v>
      </c>
      <c r="F231" s="2" t="str">
        <f t="shared" si="30"/>
        <v>Karawang</v>
      </c>
      <c r="G231" s="2" t="s">
        <v>72</v>
      </c>
      <c r="H231" s="2" t="str">
        <f t="shared" si="31"/>
        <v>Sari Dewi</v>
      </c>
      <c r="I231" s="2" t="s">
        <v>372</v>
      </c>
      <c r="J231" s="2" t="str">
        <f t="shared" si="32"/>
        <v>Citra Anggraini</v>
      </c>
      <c r="K231" s="2" t="s">
        <v>19</v>
      </c>
      <c r="L231" s="2" t="s">
        <v>20</v>
      </c>
      <c r="M231" s="2">
        <v>1</v>
      </c>
      <c r="N231" s="3">
        <v>33500000</v>
      </c>
      <c r="O231" s="3">
        <v>0</v>
      </c>
      <c r="P231" s="3">
        <v>33500000</v>
      </c>
      <c r="Q231" s="3" t="str">
        <f t="shared" si="27"/>
        <v>Normal</v>
      </c>
      <c r="R231" s="2" t="s">
        <v>38</v>
      </c>
      <c r="S231" s="2" t="s">
        <v>22</v>
      </c>
      <c r="T231" s="2" t="s">
        <v>23</v>
      </c>
      <c r="U231">
        <f t="shared" si="26"/>
        <v>1</v>
      </c>
    </row>
    <row r="232" spans="1:21">
      <c r="A232" s="2" t="s">
        <v>473</v>
      </c>
      <c r="B232" s="2" t="s">
        <v>108</v>
      </c>
      <c r="C232" s="2" t="str">
        <f t="shared" si="28"/>
        <v>2026-07-18</v>
      </c>
      <c r="D232" s="5">
        <f t="shared" si="29"/>
        <v>46221</v>
      </c>
      <c r="E232" s="2" t="s">
        <v>33</v>
      </c>
      <c r="F232" s="2" t="str">
        <f t="shared" si="30"/>
        <v>Depok</v>
      </c>
      <c r="G232" s="2" t="s">
        <v>27</v>
      </c>
      <c r="H232" s="2" t="str">
        <f t="shared" si="31"/>
        <v>Vino Bastian G.</v>
      </c>
      <c r="I232" s="2" t="s">
        <v>474</v>
      </c>
      <c r="J232" s="2" t="str">
        <f t="shared" si="32"/>
        <v>Citra Wijaya</v>
      </c>
      <c r="K232" s="2" t="s">
        <v>68</v>
      </c>
      <c r="L232" s="2" t="s">
        <v>69</v>
      </c>
      <c r="M232" s="2">
        <v>1</v>
      </c>
      <c r="N232" s="3">
        <v>17800000</v>
      </c>
      <c r="O232" s="3">
        <v>890000</v>
      </c>
      <c r="P232" s="3">
        <v>16910000</v>
      </c>
      <c r="Q232" s="3" t="str">
        <f t="shared" si="27"/>
        <v>Normal</v>
      </c>
      <c r="R232" s="2" t="s">
        <v>62</v>
      </c>
      <c r="S232" s="2" t="s">
        <v>22</v>
      </c>
      <c r="T232" s="2" t="s">
        <v>23</v>
      </c>
      <c r="U232">
        <f t="shared" si="26"/>
        <v>1</v>
      </c>
    </row>
    <row r="233" spans="1:21">
      <c r="A233" s="2" t="s">
        <v>475</v>
      </c>
      <c r="B233" s="2" t="s">
        <v>122</v>
      </c>
      <c r="C233" s="2" t="str">
        <f t="shared" si="28"/>
        <v>17/07/2026</v>
      </c>
      <c r="D233" s="5">
        <f t="shared" si="29"/>
        <v>46220</v>
      </c>
      <c r="E233" s="2" t="s">
        <v>16</v>
      </c>
      <c r="F233" s="2" t="str">
        <f t="shared" si="30"/>
        <v>Cibubur</v>
      </c>
      <c r="G233" s="2" t="s">
        <v>113</v>
      </c>
      <c r="H233" s="2" t="str">
        <f t="shared" si="31"/>
        <v>Lukman Hakim</v>
      </c>
      <c r="I233" s="2" t="s">
        <v>476</v>
      </c>
      <c r="J233" s="2" t="str">
        <f t="shared" si="32"/>
        <v>Rendi Maharani</v>
      </c>
      <c r="K233" s="2" t="s">
        <v>68</v>
      </c>
      <c r="L233" s="2" t="s">
        <v>69</v>
      </c>
      <c r="M233" s="2">
        <v>1</v>
      </c>
      <c r="N233" s="3">
        <v>17800000</v>
      </c>
      <c r="O233" s="3">
        <v>890000</v>
      </c>
      <c r="P233" s="3">
        <v>16910000</v>
      </c>
      <c r="Q233" s="3" t="str">
        <f t="shared" si="27"/>
        <v>Normal</v>
      </c>
      <c r="R233" s="2" t="s">
        <v>46</v>
      </c>
      <c r="S233" s="2" t="s">
        <v>22</v>
      </c>
      <c r="T233" s="2" t="s">
        <v>23</v>
      </c>
      <c r="U233">
        <f t="shared" si="26"/>
        <v>1</v>
      </c>
    </row>
    <row r="234" spans="1:21">
      <c r="A234" s="2" t="s">
        <v>477</v>
      </c>
      <c r="B234" s="2" t="s">
        <v>189</v>
      </c>
      <c r="C234" s="2" t="str">
        <f t="shared" si="28"/>
        <v>14/07/2026</v>
      </c>
      <c r="D234" s="5">
        <f t="shared" si="29"/>
        <v>46217</v>
      </c>
      <c r="E234" s="2" t="s">
        <v>148</v>
      </c>
      <c r="F234" s="2" t="str">
        <f t="shared" si="30"/>
        <v>Cikarang</v>
      </c>
      <c r="G234" s="2" t="s">
        <v>72</v>
      </c>
      <c r="H234" s="2" t="str">
        <f t="shared" si="31"/>
        <v>Sari Dewi</v>
      </c>
      <c r="I234" s="2" t="s">
        <v>428</v>
      </c>
      <c r="J234" s="2" t="str">
        <f t="shared" si="32"/>
        <v>Putra Anggraini</v>
      </c>
      <c r="K234" s="2" t="s">
        <v>60</v>
      </c>
      <c r="L234" s="2" t="s">
        <v>61</v>
      </c>
      <c r="M234" s="2">
        <v>1</v>
      </c>
      <c r="N234" s="3">
        <v>21500000</v>
      </c>
      <c r="O234" s="3">
        <v>430000</v>
      </c>
      <c r="P234" s="3">
        <v>21070000</v>
      </c>
      <c r="Q234" s="3" t="str">
        <f t="shared" si="27"/>
        <v>Normal</v>
      </c>
      <c r="R234" s="2" t="s">
        <v>46</v>
      </c>
      <c r="S234" s="2" t="s">
        <v>22</v>
      </c>
      <c r="T234" s="2" t="s">
        <v>39</v>
      </c>
      <c r="U234">
        <f t="shared" si="26"/>
        <v>1</v>
      </c>
    </row>
    <row r="235" spans="1:21">
      <c r="A235" s="2" t="s">
        <v>478</v>
      </c>
      <c r="B235" s="2" t="s">
        <v>84</v>
      </c>
      <c r="C235" s="2" t="str">
        <f t="shared" si="28"/>
        <v>2026-07-15</v>
      </c>
      <c r="D235" s="5">
        <f t="shared" si="29"/>
        <v>46218</v>
      </c>
      <c r="E235" s="2" t="s">
        <v>155</v>
      </c>
      <c r="F235" s="2" t="str">
        <f t="shared" si="30"/>
        <v>Tangerang</v>
      </c>
      <c r="G235" s="2" t="s">
        <v>145</v>
      </c>
      <c r="H235" s="2" t="str">
        <f t="shared" si="31"/>
        <v>Doni Saputra</v>
      </c>
      <c r="I235" s="2" t="s">
        <v>169</v>
      </c>
      <c r="J235" s="2" t="str">
        <f t="shared" si="32"/>
        <v>Budi Ramadhan</v>
      </c>
      <c r="K235" s="2" t="s">
        <v>68</v>
      </c>
      <c r="L235" s="2" t="s">
        <v>69</v>
      </c>
      <c r="M235" s="2">
        <v>1</v>
      </c>
      <c r="N235" s="3">
        <v>17800000</v>
      </c>
      <c r="O235" s="3">
        <v>890000</v>
      </c>
      <c r="P235" s="3">
        <v>16910000</v>
      </c>
      <c r="Q235" s="3" t="str">
        <f t="shared" si="27"/>
        <v>Normal</v>
      </c>
      <c r="R235" s="2" t="s">
        <v>29</v>
      </c>
      <c r="S235" s="2" t="s">
        <v>82</v>
      </c>
      <c r="T235" s="2" t="s">
        <v>23</v>
      </c>
      <c r="U235">
        <f t="shared" si="26"/>
        <v>1</v>
      </c>
    </row>
    <row r="236" spans="1:21">
      <c r="A236" s="2" t="s">
        <v>479</v>
      </c>
      <c r="B236" s="2" t="s">
        <v>25</v>
      </c>
      <c r="C236" s="2" t="str">
        <f t="shared" si="28"/>
        <v>2026-07-16</v>
      </c>
      <c r="D236" s="5">
        <f t="shared" si="29"/>
        <v>46219</v>
      </c>
      <c r="E236" s="2" t="s">
        <v>26</v>
      </c>
      <c r="F236" s="2" t="str">
        <f t="shared" si="30"/>
        <v>Sukabumi</v>
      </c>
      <c r="G236" s="2" t="s">
        <v>98</v>
      </c>
      <c r="H236" s="2" t="str">
        <f t="shared" si="31"/>
        <v>Rangga Saputra</v>
      </c>
      <c r="I236" s="2" t="s">
        <v>341</v>
      </c>
      <c r="J236" s="2" t="str">
        <f t="shared" si="32"/>
        <v>Siska Saputra</v>
      </c>
      <c r="K236" s="2" t="s">
        <v>152</v>
      </c>
      <c r="L236" s="2" t="s">
        <v>153</v>
      </c>
      <c r="M236" s="2">
        <v>1</v>
      </c>
      <c r="N236" s="3">
        <v>27400000</v>
      </c>
      <c r="O236" s="3">
        <v>1370000</v>
      </c>
      <c r="P236" s="3">
        <v>26030000</v>
      </c>
      <c r="Q236" s="3" t="str">
        <f t="shared" si="27"/>
        <v>Normal</v>
      </c>
      <c r="R236" s="2" t="s">
        <v>62</v>
      </c>
      <c r="S236" s="2" t="s">
        <v>22</v>
      </c>
      <c r="T236" s="2" t="s">
        <v>30</v>
      </c>
      <c r="U236">
        <f t="shared" si="26"/>
        <v>1</v>
      </c>
    </row>
    <row r="237" spans="1:21">
      <c r="A237" s="2" t="s">
        <v>480</v>
      </c>
      <c r="B237" s="2" t="s">
        <v>25</v>
      </c>
      <c r="C237" s="2" t="str">
        <f t="shared" si="28"/>
        <v>2026-07-16</v>
      </c>
      <c r="D237" s="5">
        <f t="shared" si="29"/>
        <v>46219</v>
      </c>
      <c r="E237" s="2" t="s">
        <v>155</v>
      </c>
      <c r="F237" s="2" t="str">
        <f t="shared" si="30"/>
        <v>Tangerang</v>
      </c>
      <c r="G237" s="2" t="s">
        <v>54</v>
      </c>
      <c r="H237" s="2" t="str">
        <f t="shared" si="31"/>
        <v>Hadi Santoso</v>
      </c>
      <c r="I237" s="2" t="s">
        <v>35</v>
      </c>
      <c r="J237" s="2" t="str">
        <f t="shared" si="32"/>
        <v>Putra Hidayat</v>
      </c>
      <c r="K237" s="2" t="s">
        <v>99</v>
      </c>
      <c r="L237" s="2" t="s">
        <v>100</v>
      </c>
      <c r="M237" s="2">
        <v>1</v>
      </c>
      <c r="N237" s="3">
        <v>29800000</v>
      </c>
      <c r="O237" s="3">
        <v>298000</v>
      </c>
      <c r="P237" s="3">
        <v>29502000</v>
      </c>
      <c r="Q237" s="3" t="str">
        <f t="shared" si="27"/>
        <v>Normal</v>
      </c>
      <c r="R237" s="2" t="s">
        <v>29</v>
      </c>
      <c r="S237" s="2" t="s">
        <v>22</v>
      </c>
      <c r="T237" s="2" t="s">
        <v>23</v>
      </c>
      <c r="U237">
        <f t="shared" si="26"/>
        <v>1</v>
      </c>
    </row>
    <row r="238" spans="1:21">
      <c r="A238" s="2" t="s">
        <v>481</v>
      </c>
      <c r="B238" s="2" t="s">
        <v>125</v>
      </c>
      <c r="C238" s="2" t="str">
        <f t="shared" si="28"/>
        <v>16/07/2026</v>
      </c>
      <c r="D238" s="5">
        <f t="shared" si="29"/>
        <v>46219</v>
      </c>
      <c r="E238" s="2" t="s">
        <v>182</v>
      </c>
      <c r="F238" s="2" t="str">
        <f t="shared" si="30"/>
        <v>Bogor</v>
      </c>
      <c r="G238" s="2" t="s">
        <v>80</v>
      </c>
      <c r="H238" s="2" t="str">
        <f t="shared" si="31"/>
        <v>Kiki Amelia</v>
      </c>
      <c r="I238" s="2" t="s">
        <v>482</v>
      </c>
      <c r="J238" s="2" t="str">
        <f t="shared" si="32"/>
        <v>Eko Anggraini</v>
      </c>
      <c r="K238" s="2" t="s">
        <v>19</v>
      </c>
      <c r="L238" s="2" t="s">
        <v>20</v>
      </c>
      <c r="M238" s="2">
        <v>1</v>
      </c>
      <c r="N238" s="3">
        <v>33500000</v>
      </c>
      <c r="O238" s="3">
        <v>0</v>
      </c>
      <c r="P238" s="3">
        <v>33500000</v>
      </c>
      <c r="Q238" s="3" t="str">
        <f t="shared" si="27"/>
        <v>Normal</v>
      </c>
      <c r="R238" s="2" t="s">
        <v>29</v>
      </c>
      <c r="S238" s="2" t="s">
        <v>22</v>
      </c>
      <c r="T238" s="2" t="s">
        <v>30</v>
      </c>
      <c r="U238">
        <f t="shared" si="26"/>
        <v>1</v>
      </c>
    </row>
    <row r="239" spans="1:21">
      <c r="A239" s="2" t="s">
        <v>483</v>
      </c>
      <c r="B239" s="2" t="s">
        <v>25</v>
      </c>
      <c r="C239" s="2" t="str">
        <f t="shared" si="28"/>
        <v>2026-07-16</v>
      </c>
      <c r="D239" s="5">
        <f t="shared" si="29"/>
        <v>46219</v>
      </c>
      <c r="E239" s="2" t="s">
        <v>33</v>
      </c>
      <c r="F239" s="2" t="str">
        <f t="shared" si="30"/>
        <v>Depok</v>
      </c>
      <c r="G239" s="2" t="s">
        <v>34</v>
      </c>
      <c r="H239" s="2" t="str">
        <f t="shared" si="31"/>
        <v>Joko Widodo S.</v>
      </c>
      <c r="I239" s="2" t="s">
        <v>484</v>
      </c>
      <c r="J239" s="2" t="str">
        <f t="shared" si="32"/>
        <v>Hana Saputra</v>
      </c>
      <c r="K239" s="2" t="s">
        <v>36</v>
      </c>
      <c r="L239" s="2" t="s">
        <v>37</v>
      </c>
      <c r="M239" s="2">
        <v>1</v>
      </c>
      <c r="N239" s="3">
        <v>22300000</v>
      </c>
      <c r="O239" s="3">
        <v>1115000</v>
      </c>
      <c r="P239" s="3">
        <v>21185000</v>
      </c>
      <c r="Q239" s="3" t="str">
        <f t="shared" si="27"/>
        <v>Normal</v>
      </c>
      <c r="R239" s="2" t="s">
        <v>21</v>
      </c>
      <c r="S239" s="2" t="s">
        <v>22</v>
      </c>
      <c r="T239" s="2" t="s">
        <v>39</v>
      </c>
      <c r="U239">
        <f t="shared" si="26"/>
        <v>1</v>
      </c>
    </row>
    <row r="240" spans="1:21">
      <c r="A240" s="2" t="s">
        <v>485</v>
      </c>
      <c r="B240" s="2" t="s">
        <v>57</v>
      </c>
      <c r="C240" s="2" t="str">
        <f t="shared" si="28"/>
        <v>2026-07-17</v>
      </c>
      <c r="D240" s="5">
        <f t="shared" si="29"/>
        <v>46220</v>
      </c>
      <c r="E240" s="2" t="s">
        <v>148</v>
      </c>
      <c r="F240" s="2" t="str">
        <f t="shared" si="30"/>
        <v>Cikarang</v>
      </c>
      <c r="G240" s="2" t="s">
        <v>113</v>
      </c>
      <c r="H240" s="2" t="str">
        <f t="shared" si="31"/>
        <v>Lukman Hakim</v>
      </c>
      <c r="I240" s="2" t="s">
        <v>280</v>
      </c>
      <c r="J240" s="2" t="str">
        <f t="shared" si="32"/>
        <v>Made Hidayat</v>
      </c>
      <c r="K240" s="2" t="s">
        <v>60</v>
      </c>
      <c r="L240" s="2" t="s">
        <v>61</v>
      </c>
      <c r="M240" s="2">
        <v>1</v>
      </c>
      <c r="N240" s="3">
        <v>21500000</v>
      </c>
      <c r="O240" s="3">
        <v>215000</v>
      </c>
      <c r="P240" s="3">
        <v>21285000</v>
      </c>
      <c r="Q240" s="3" t="str">
        <f t="shared" si="27"/>
        <v>Normal</v>
      </c>
      <c r="R240" s="2" t="s">
        <v>46</v>
      </c>
      <c r="S240" s="2" t="s">
        <v>22</v>
      </c>
      <c r="T240" s="2" t="s">
        <v>30</v>
      </c>
      <c r="U240">
        <f t="shared" si="26"/>
        <v>1</v>
      </c>
    </row>
    <row r="241" spans="1:21">
      <c r="A241" s="2" t="s">
        <v>486</v>
      </c>
      <c r="B241" s="2" t="s">
        <v>57</v>
      </c>
      <c r="C241" s="2" t="str">
        <f t="shared" si="28"/>
        <v>2026-07-17</v>
      </c>
      <c r="D241" s="5">
        <f t="shared" si="29"/>
        <v>46220</v>
      </c>
      <c r="E241" s="2" t="s">
        <v>155</v>
      </c>
      <c r="F241" s="2" t="str">
        <f t="shared" si="30"/>
        <v>Tangerang</v>
      </c>
      <c r="G241" s="2" t="s">
        <v>34</v>
      </c>
      <c r="H241" s="2" t="str">
        <f t="shared" si="31"/>
        <v>Joko Widodo S.</v>
      </c>
      <c r="I241" s="2" t="s">
        <v>158</v>
      </c>
      <c r="J241" s="2" t="str">
        <f t="shared" si="32"/>
        <v>Fitri Saputra</v>
      </c>
      <c r="K241" s="2" t="s">
        <v>44</v>
      </c>
      <c r="L241" s="2" t="s">
        <v>45</v>
      </c>
      <c r="M241" s="2">
        <v>1</v>
      </c>
      <c r="N241" s="3">
        <v>24600000</v>
      </c>
      <c r="O241" s="3">
        <v>0</v>
      </c>
      <c r="P241" s="3">
        <v>24600000</v>
      </c>
      <c r="Q241" s="3" t="str">
        <f t="shared" si="27"/>
        <v>Normal</v>
      </c>
      <c r="R241" s="2" t="s">
        <v>38</v>
      </c>
      <c r="S241" s="2" t="s">
        <v>22</v>
      </c>
      <c r="T241" s="2" t="s">
        <v>77</v>
      </c>
      <c r="U241">
        <f t="shared" si="26"/>
        <v>1</v>
      </c>
    </row>
    <row r="242" spans="1:21">
      <c r="A242" s="2" t="s">
        <v>487</v>
      </c>
      <c r="B242" s="2" t="s">
        <v>25</v>
      </c>
      <c r="C242" s="2" t="str">
        <f t="shared" si="28"/>
        <v>2026-07-16</v>
      </c>
      <c r="D242" s="5">
        <f t="shared" si="29"/>
        <v>46219</v>
      </c>
      <c r="E242" s="2" t="s">
        <v>65</v>
      </c>
      <c r="F242" s="2" t="str">
        <f t="shared" si="30"/>
        <v>Bandung</v>
      </c>
      <c r="G242" s="2" t="s">
        <v>66</v>
      </c>
      <c r="H242" s="2" t="str">
        <f t="shared" si="31"/>
        <v>Puji Lestari</v>
      </c>
      <c r="I242" s="2" t="s">
        <v>336</v>
      </c>
      <c r="J242" s="2" t="str">
        <f t="shared" si="32"/>
        <v>Rendi Anggraini</v>
      </c>
      <c r="K242" s="2" t="s">
        <v>152</v>
      </c>
      <c r="L242" s="2" t="s">
        <v>153</v>
      </c>
      <c r="M242" s="2">
        <v>1</v>
      </c>
      <c r="N242" s="3">
        <v>27400000</v>
      </c>
      <c r="O242" s="3">
        <v>0</v>
      </c>
      <c r="P242" s="3">
        <v>27400000</v>
      </c>
      <c r="Q242" s="3" t="str">
        <f t="shared" si="27"/>
        <v>Normal</v>
      </c>
      <c r="R242" s="2" t="s">
        <v>21</v>
      </c>
      <c r="S242" s="2" t="s">
        <v>22</v>
      </c>
      <c r="T242" s="2" t="s">
        <v>39</v>
      </c>
      <c r="U242">
        <f t="shared" si="26"/>
        <v>1</v>
      </c>
    </row>
    <row r="243" spans="1:21">
      <c r="A243" s="2" t="s">
        <v>488</v>
      </c>
      <c r="B243" s="2" t="s">
        <v>140</v>
      </c>
      <c r="C243" s="2" t="str">
        <f t="shared" si="28"/>
        <v>2026-07-19</v>
      </c>
      <c r="D243" s="5">
        <f t="shared" si="29"/>
        <v>46222</v>
      </c>
      <c r="E243" s="2" t="s">
        <v>65</v>
      </c>
      <c r="F243" s="2" t="str">
        <f t="shared" si="30"/>
        <v>Bandung</v>
      </c>
      <c r="G243" s="2" t="s">
        <v>94</v>
      </c>
      <c r="H243" s="2" t="str">
        <f t="shared" si="31"/>
        <v>Gita Ayu</v>
      </c>
      <c r="I243" s="2" t="s">
        <v>489</v>
      </c>
      <c r="J243" s="2" t="str">
        <f t="shared" si="32"/>
        <v>Dewi Pratama</v>
      </c>
      <c r="K243" s="2" t="s">
        <v>19</v>
      </c>
      <c r="L243" s="2" t="s">
        <v>20</v>
      </c>
      <c r="M243" s="2">
        <v>1</v>
      </c>
      <c r="N243" s="3">
        <v>33500000</v>
      </c>
      <c r="O243" s="3">
        <v>0</v>
      </c>
      <c r="P243" s="3">
        <v>33500000</v>
      </c>
      <c r="Q243" s="3" t="str">
        <f t="shared" si="27"/>
        <v>Normal</v>
      </c>
      <c r="R243" s="2" t="s">
        <v>21</v>
      </c>
      <c r="S243" s="2" t="s">
        <v>22</v>
      </c>
      <c r="T243" s="2" t="s">
        <v>23</v>
      </c>
      <c r="U243">
        <f t="shared" si="26"/>
        <v>1</v>
      </c>
    </row>
    <row r="244" spans="1:21">
      <c r="A244" s="2" t="s">
        <v>490</v>
      </c>
      <c r="B244" s="2" t="s">
        <v>84</v>
      </c>
      <c r="C244" s="2" t="str">
        <f t="shared" si="28"/>
        <v>2026-07-15</v>
      </c>
      <c r="D244" s="5">
        <f t="shared" si="29"/>
        <v>46218</v>
      </c>
      <c r="E244" s="2" t="s">
        <v>85</v>
      </c>
      <c r="F244" s="2" t="str">
        <f t="shared" si="30"/>
        <v>Karawang</v>
      </c>
      <c r="G244" s="2" t="s">
        <v>49</v>
      </c>
      <c r="H244" s="2" t="str">
        <f t="shared" si="31"/>
        <v>Fajar Nugraha</v>
      </c>
      <c r="I244" s="2" t="s">
        <v>448</v>
      </c>
      <c r="J244" s="2" t="str">
        <f t="shared" si="32"/>
        <v>Qori Kusuma</v>
      </c>
      <c r="K244" s="2" t="s">
        <v>19</v>
      </c>
      <c r="L244" s="2" t="s">
        <v>20</v>
      </c>
      <c r="M244" s="2">
        <v>1</v>
      </c>
      <c r="N244" s="3">
        <v>33500000</v>
      </c>
      <c r="O244" s="3">
        <v>670000</v>
      </c>
      <c r="P244" s="3">
        <v>32830000</v>
      </c>
      <c r="Q244" s="3" t="str">
        <f t="shared" si="27"/>
        <v>Normal</v>
      </c>
      <c r="R244" s="2" t="s">
        <v>21</v>
      </c>
      <c r="S244" s="2" t="s">
        <v>22</v>
      </c>
      <c r="T244" s="2" t="s">
        <v>39</v>
      </c>
      <c r="U244">
        <f t="shared" si="26"/>
        <v>1</v>
      </c>
    </row>
    <row r="245" spans="1:21">
      <c r="A245" s="2" t="s">
        <v>491</v>
      </c>
      <c r="B245" s="2" t="s">
        <v>15</v>
      </c>
      <c r="C245" s="2" t="str">
        <f t="shared" si="28"/>
        <v>2026-07-14</v>
      </c>
      <c r="D245" s="5">
        <f t="shared" si="29"/>
        <v>46217</v>
      </c>
      <c r="E245" s="2" t="s">
        <v>85</v>
      </c>
      <c r="F245" s="2" t="str">
        <f t="shared" si="30"/>
        <v>Karawang</v>
      </c>
      <c r="G245" s="2" t="s">
        <v>94</v>
      </c>
      <c r="H245" s="2" t="str">
        <f t="shared" si="31"/>
        <v>Gita Ayu</v>
      </c>
      <c r="I245" s="2" t="s">
        <v>492</v>
      </c>
      <c r="J245" s="2" t="str">
        <f t="shared" si="32"/>
        <v>Ahmad Kusuma</v>
      </c>
      <c r="K245" s="2" t="s">
        <v>44</v>
      </c>
      <c r="L245" s="2" t="s">
        <v>45</v>
      </c>
      <c r="M245" s="2">
        <v>1</v>
      </c>
      <c r="N245" s="3">
        <v>24600000</v>
      </c>
      <c r="O245" s="3">
        <v>0</v>
      </c>
      <c r="P245" s="3">
        <v>24600000</v>
      </c>
      <c r="Q245" s="3" t="str">
        <f t="shared" si="27"/>
        <v>Normal</v>
      </c>
      <c r="R245" s="2" t="s">
        <v>29</v>
      </c>
      <c r="S245" s="2" t="s">
        <v>22</v>
      </c>
      <c r="T245" s="2" t="s">
        <v>39</v>
      </c>
      <c r="U245">
        <f t="shared" si="26"/>
        <v>1</v>
      </c>
    </row>
    <row r="246" spans="1:21">
      <c r="A246" s="2" t="s">
        <v>493</v>
      </c>
      <c r="B246" s="2" t="s">
        <v>84</v>
      </c>
      <c r="C246" s="2" t="str">
        <f t="shared" si="28"/>
        <v>2026-07-15</v>
      </c>
      <c r="D246" s="5">
        <f t="shared" si="29"/>
        <v>46218</v>
      </c>
      <c r="E246" s="2" t="s">
        <v>48</v>
      </c>
      <c r="F246" s="2" t="str">
        <f t="shared" si="30"/>
        <v>Jakarta Selatan</v>
      </c>
      <c r="G246" s="2" t="s">
        <v>98</v>
      </c>
      <c r="H246" s="2" t="str">
        <f t="shared" si="31"/>
        <v>Rangga Saputra</v>
      </c>
      <c r="I246" s="2" t="s">
        <v>466</v>
      </c>
      <c r="J246" s="2" t="str">
        <f t="shared" si="32"/>
        <v>Nia Maharani</v>
      </c>
      <c r="K246" s="2" t="s">
        <v>60</v>
      </c>
      <c r="L246" s="2" t="s">
        <v>61</v>
      </c>
      <c r="M246" s="2">
        <v>1</v>
      </c>
      <c r="N246" s="3">
        <v>21500000</v>
      </c>
      <c r="O246" s="3">
        <v>215000</v>
      </c>
      <c r="P246" s="3">
        <v>21285000</v>
      </c>
      <c r="Q246" s="3" t="str">
        <f t="shared" si="27"/>
        <v>Normal</v>
      </c>
      <c r="R246" s="2" t="s">
        <v>29</v>
      </c>
      <c r="S246" s="2" t="s">
        <v>87</v>
      </c>
      <c r="T246" s="2" t="s">
        <v>39</v>
      </c>
      <c r="U246">
        <f t="shared" si="26"/>
        <v>1</v>
      </c>
    </row>
    <row r="247" spans="1:21">
      <c r="A247" s="2" t="s">
        <v>494</v>
      </c>
      <c r="B247" s="2" t="s">
        <v>64</v>
      </c>
      <c r="C247" s="2" t="str">
        <f t="shared" si="28"/>
        <v>2026-07-13</v>
      </c>
      <c r="D247" s="5">
        <f t="shared" si="29"/>
        <v>46216</v>
      </c>
      <c r="E247" s="2" t="s">
        <v>85</v>
      </c>
      <c r="F247" s="2" t="str">
        <f t="shared" si="30"/>
        <v>Karawang</v>
      </c>
      <c r="G247" s="2" t="s">
        <v>126</v>
      </c>
      <c r="H247" s="2" t="str">
        <f t="shared" si="31"/>
        <v>Oki Setiawan</v>
      </c>
      <c r="I247" s="2" t="s">
        <v>495</v>
      </c>
      <c r="J247" s="2" t="str">
        <f t="shared" si="32"/>
        <v>Jihan Hidayat</v>
      </c>
      <c r="K247" s="2" t="s">
        <v>142</v>
      </c>
      <c r="L247" s="2" t="s">
        <v>143</v>
      </c>
      <c r="M247" s="2">
        <v>1</v>
      </c>
      <c r="N247" s="3">
        <v>18900000</v>
      </c>
      <c r="O247" s="3">
        <v>567000</v>
      </c>
      <c r="P247" s="3">
        <v>18333000</v>
      </c>
      <c r="Q247" s="3" t="str">
        <f t="shared" si="27"/>
        <v>Normal</v>
      </c>
      <c r="R247" s="2" t="s">
        <v>62</v>
      </c>
      <c r="S247" s="2" t="s">
        <v>22</v>
      </c>
      <c r="T247" s="2" t="s">
        <v>30</v>
      </c>
      <c r="U247">
        <f t="shared" si="26"/>
        <v>1</v>
      </c>
    </row>
    <row r="248" spans="1:21">
      <c r="A248" s="2" t="s">
        <v>496</v>
      </c>
      <c r="B248" s="2" t="s">
        <v>215</v>
      </c>
      <c r="C248" s="2" t="str">
        <f t="shared" si="28"/>
        <v>13/07/2026</v>
      </c>
      <c r="D248" s="5">
        <f t="shared" si="29"/>
        <v>46216</v>
      </c>
      <c r="E248" s="2" t="s">
        <v>65</v>
      </c>
      <c r="F248" s="2" t="str">
        <f t="shared" si="30"/>
        <v>Bandung</v>
      </c>
      <c r="G248" s="2" t="s">
        <v>49</v>
      </c>
      <c r="H248" s="2" t="str">
        <f t="shared" si="31"/>
        <v>Fajar Nugraha</v>
      </c>
      <c r="I248" s="2" t="s">
        <v>223</v>
      </c>
      <c r="J248" s="2" t="str">
        <f t="shared" si="32"/>
        <v>Rendi Kusuma</v>
      </c>
      <c r="K248" s="2" t="s">
        <v>44</v>
      </c>
      <c r="L248" s="2" t="s">
        <v>45</v>
      </c>
      <c r="M248" s="2">
        <v>2</v>
      </c>
      <c r="N248" s="3">
        <v>24600000</v>
      </c>
      <c r="O248" s="3">
        <v>1476000</v>
      </c>
      <c r="P248" s="3">
        <v>47724000</v>
      </c>
      <c r="Q248" s="3" t="str">
        <f t="shared" si="27"/>
        <v>Normal</v>
      </c>
      <c r="R248" s="2" t="s">
        <v>46</v>
      </c>
      <c r="S248" s="2" t="s">
        <v>82</v>
      </c>
      <c r="T248" s="2" t="s">
        <v>30</v>
      </c>
      <c r="U248">
        <f t="shared" si="26"/>
        <v>1</v>
      </c>
    </row>
    <row r="249" spans="1:21">
      <c r="A249" s="2" t="s">
        <v>497</v>
      </c>
      <c r="B249" s="2" t="s">
        <v>215</v>
      </c>
      <c r="C249" s="2" t="str">
        <f t="shared" si="28"/>
        <v>13/07/2026</v>
      </c>
      <c r="D249" s="5">
        <f t="shared" si="29"/>
        <v>46216</v>
      </c>
      <c r="E249" s="2" t="s">
        <v>65</v>
      </c>
      <c r="F249" s="2" t="str">
        <f t="shared" si="30"/>
        <v>Bandung</v>
      </c>
      <c r="G249" s="2" t="s">
        <v>98</v>
      </c>
      <c r="H249" s="2" t="str">
        <f t="shared" si="31"/>
        <v>Rangga Saputra</v>
      </c>
      <c r="I249" s="2" t="s">
        <v>312</v>
      </c>
      <c r="J249" s="2" t="str">
        <f t="shared" si="32"/>
        <v>Galih Wijaya</v>
      </c>
      <c r="K249" s="2" t="s">
        <v>68</v>
      </c>
      <c r="L249" s="2" t="s">
        <v>69</v>
      </c>
      <c r="M249" s="2">
        <v>1</v>
      </c>
      <c r="N249" s="3">
        <v>17800000</v>
      </c>
      <c r="O249" s="3">
        <v>534000</v>
      </c>
      <c r="P249" s="3">
        <v>17266000</v>
      </c>
      <c r="Q249" s="3" t="str">
        <f t="shared" si="27"/>
        <v>Normal</v>
      </c>
      <c r="R249" s="2" t="s">
        <v>21</v>
      </c>
      <c r="S249" s="2" t="s">
        <v>22</v>
      </c>
      <c r="T249" s="2" t="s">
        <v>23</v>
      </c>
      <c r="U249">
        <f t="shared" si="26"/>
        <v>1</v>
      </c>
    </row>
    <row r="250" spans="1:21">
      <c r="A250" s="2" t="s">
        <v>498</v>
      </c>
      <c r="B250" s="2" t="s">
        <v>84</v>
      </c>
      <c r="C250" s="2" t="str">
        <f t="shared" si="28"/>
        <v>2026-07-15</v>
      </c>
      <c r="D250" s="5">
        <f t="shared" si="29"/>
        <v>46218</v>
      </c>
      <c r="E250" s="2" t="s">
        <v>155</v>
      </c>
      <c r="F250" s="2" t="str">
        <f t="shared" si="30"/>
        <v>Tangerang</v>
      </c>
      <c r="G250" s="2" t="s">
        <v>80</v>
      </c>
      <c r="H250" s="2" t="str">
        <f t="shared" si="31"/>
        <v>Kiki Amelia</v>
      </c>
      <c r="I250" s="2" t="s">
        <v>190</v>
      </c>
      <c r="J250" s="2" t="str">
        <f t="shared" si="32"/>
        <v>Hana Hidayat</v>
      </c>
      <c r="K250" s="2" t="s">
        <v>152</v>
      </c>
      <c r="L250" s="2" t="s">
        <v>153</v>
      </c>
      <c r="M250" s="2">
        <v>1</v>
      </c>
      <c r="N250" s="3">
        <v>27400000</v>
      </c>
      <c r="O250" s="3">
        <v>0</v>
      </c>
      <c r="P250" s="3">
        <v>27400000</v>
      </c>
      <c r="Q250" s="3" t="str">
        <f t="shared" si="27"/>
        <v>Normal</v>
      </c>
      <c r="R250" s="2" t="s">
        <v>46</v>
      </c>
      <c r="S250" s="2" t="s">
        <v>22</v>
      </c>
      <c r="T250" s="2" t="s">
        <v>39</v>
      </c>
      <c r="U250">
        <f t="shared" si="26"/>
        <v>1</v>
      </c>
    </row>
    <row r="251" spans="1:21">
      <c r="A251" s="2" t="s">
        <v>499</v>
      </c>
      <c r="B251" s="2" t="s">
        <v>211</v>
      </c>
      <c r="C251" s="2" t="str">
        <f t="shared" si="28"/>
        <v>17/07/2026</v>
      </c>
      <c r="D251" s="5">
        <f t="shared" si="29"/>
        <v>46220</v>
      </c>
      <c r="E251" s="2" t="s">
        <v>33</v>
      </c>
      <c r="F251" s="2" t="str">
        <f t="shared" si="30"/>
        <v>Depok</v>
      </c>
      <c r="G251" s="2" t="s">
        <v>145</v>
      </c>
      <c r="H251" s="2" t="str">
        <f t="shared" si="31"/>
        <v>Doni Saputra</v>
      </c>
      <c r="I251" s="2" t="s">
        <v>269</v>
      </c>
      <c r="J251" s="2" t="str">
        <f t="shared" si="32"/>
        <v>Nia Pratama</v>
      </c>
      <c r="K251" s="2" t="s">
        <v>152</v>
      </c>
      <c r="L251" s="2" t="s">
        <v>153</v>
      </c>
      <c r="M251" s="2">
        <v>1</v>
      </c>
      <c r="N251" s="3">
        <v>27400000</v>
      </c>
      <c r="O251" s="3">
        <v>1370000</v>
      </c>
      <c r="P251" s="3">
        <v>26030000</v>
      </c>
      <c r="Q251" s="3" t="str">
        <f t="shared" si="27"/>
        <v>Normal</v>
      </c>
      <c r="R251" s="2" t="s">
        <v>38</v>
      </c>
      <c r="S251" s="2" t="s">
        <v>22</v>
      </c>
      <c r="T251" s="2" t="s">
        <v>23</v>
      </c>
      <c r="U251">
        <f t="shared" si="26"/>
        <v>1</v>
      </c>
    </row>
    <row r="252" spans="1:21">
      <c r="A252" s="2" t="s">
        <v>500</v>
      </c>
      <c r="B252" s="2" t="s">
        <v>167</v>
      </c>
      <c r="C252" s="2" t="str">
        <f t="shared" si="28"/>
        <v>19/07/2026</v>
      </c>
      <c r="D252" s="5">
        <f t="shared" si="29"/>
        <v>46222</v>
      </c>
      <c r="E252" s="2" t="s">
        <v>285</v>
      </c>
      <c r="F252" s="2" t="str">
        <f t="shared" si="30"/>
        <v>Jakarta Selatan</v>
      </c>
      <c r="G252" s="2" t="s">
        <v>130</v>
      </c>
      <c r="H252" s="2" t="str">
        <f t="shared" si="31"/>
        <v>Indah Permata</v>
      </c>
      <c r="I252" s="2" t="s">
        <v>194</v>
      </c>
      <c r="J252" s="2" t="str">
        <f t="shared" si="32"/>
        <v>Eko Saputra</v>
      </c>
      <c r="K252" s="2" t="s">
        <v>142</v>
      </c>
      <c r="L252" s="2" t="s">
        <v>143</v>
      </c>
      <c r="M252" s="2">
        <v>2</v>
      </c>
      <c r="N252" s="3">
        <v>18900000</v>
      </c>
      <c r="O252" s="3">
        <v>1134000</v>
      </c>
      <c r="P252" s="3">
        <v>36666000</v>
      </c>
      <c r="Q252" s="3" t="str">
        <f t="shared" si="27"/>
        <v>Normal</v>
      </c>
      <c r="R252" s="2" t="s">
        <v>21</v>
      </c>
      <c r="S252" s="2" t="s">
        <v>22</v>
      </c>
      <c r="T252" s="2" t="s">
        <v>30</v>
      </c>
      <c r="U252">
        <f t="shared" si="26"/>
        <v>1</v>
      </c>
    </row>
    <row r="253" spans="1:21">
      <c r="A253" s="2" t="s">
        <v>501</v>
      </c>
      <c r="B253" s="2" t="s">
        <v>108</v>
      </c>
      <c r="C253" s="2" t="str">
        <f t="shared" si="28"/>
        <v>2026-07-18</v>
      </c>
      <c r="D253" s="5">
        <f t="shared" si="29"/>
        <v>46221</v>
      </c>
      <c r="E253" s="2" t="s">
        <v>155</v>
      </c>
      <c r="F253" s="2" t="str">
        <f t="shared" si="30"/>
        <v>Tangerang</v>
      </c>
      <c r="G253" s="2" t="s">
        <v>58</v>
      </c>
      <c r="H253" s="2" t="str">
        <f t="shared" si="31"/>
        <v>Umi Kalsum</v>
      </c>
      <c r="I253" s="2" t="s">
        <v>59</v>
      </c>
      <c r="J253" s="2" t="str">
        <f t="shared" si="32"/>
        <v>Putra Kusuma</v>
      </c>
      <c r="K253" s="2" t="s">
        <v>60</v>
      </c>
      <c r="L253" s="2" t="s">
        <v>61</v>
      </c>
      <c r="M253" s="2">
        <v>1</v>
      </c>
      <c r="N253" s="3">
        <v>21500000</v>
      </c>
      <c r="O253" s="3">
        <v>0</v>
      </c>
      <c r="P253" s="3">
        <v>21500000</v>
      </c>
      <c r="Q253" s="3" t="str">
        <f t="shared" si="27"/>
        <v>Normal</v>
      </c>
      <c r="R253" s="2" t="s">
        <v>29</v>
      </c>
      <c r="S253" s="2" t="s">
        <v>22</v>
      </c>
      <c r="T253" s="2" t="s">
        <v>23</v>
      </c>
      <c r="U253">
        <f t="shared" si="26"/>
        <v>1</v>
      </c>
    </row>
    <row r="254" spans="1:21">
      <c r="A254" s="2" t="s">
        <v>502</v>
      </c>
      <c r="B254" s="2" t="s">
        <v>15</v>
      </c>
      <c r="C254" s="2" t="str">
        <f t="shared" si="28"/>
        <v>2026-07-14</v>
      </c>
      <c r="D254" s="5">
        <f t="shared" si="29"/>
        <v>46217</v>
      </c>
      <c r="E254" s="2" t="s">
        <v>182</v>
      </c>
      <c r="F254" s="2" t="str">
        <f t="shared" si="30"/>
        <v>Bogor</v>
      </c>
      <c r="G254" s="2" t="s">
        <v>58</v>
      </c>
      <c r="H254" s="2" t="str">
        <f t="shared" si="31"/>
        <v>Umi Kalsum</v>
      </c>
      <c r="I254" s="2" t="s">
        <v>503</v>
      </c>
      <c r="J254" s="2" t="str">
        <f t="shared" si="32"/>
        <v>Ahmad Lestari</v>
      </c>
      <c r="K254" s="2" t="s">
        <v>19</v>
      </c>
      <c r="L254" s="2" t="s">
        <v>20</v>
      </c>
      <c r="M254" s="2">
        <v>1</v>
      </c>
      <c r="N254" s="3">
        <v>33500000</v>
      </c>
      <c r="O254" s="3">
        <v>1675000</v>
      </c>
      <c r="P254" s="3">
        <v>31825000</v>
      </c>
      <c r="Q254" s="3" t="str">
        <f t="shared" si="27"/>
        <v>Normal</v>
      </c>
      <c r="R254" s="2" t="s">
        <v>21</v>
      </c>
      <c r="S254" s="2" t="s">
        <v>22</v>
      </c>
      <c r="T254" s="2" t="s">
        <v>23</v>
      </c>
      <c r="U254">
        <f t="shared" si="26"/>
        <v>1</v>
      </c>
    </row>
    <row r="255" spans="1:21">
      <c r="A255" s="2" t="s">
        <v>504</v>
      </c>
      <c r="B255" s="2" t="s">
        <v>189</v>
      </c>
      <c r="C255" s="2" t="str">
        <f t="shared" si="28"/>
        <v>14/07/2026</v>
      </c>
      <c r="D255" s="5">
        <f t="shared" si="29"/>
        <v>46217</v>
      </c>
      <c r="E255" s="2" t="s">
        <v>155</v>
      </c>
      <c r="F255" s="2" t="str">
        <f t="shared" si="30"/>
        <v>Tangerang</v>
      </c>
      <c r="G255" s="2" t="s">
        <v>113</v>
      </c>
      <c r="H255" s="2" t="str">
        <f t="shared" si="31"/>
        <v>Lukman Hakim</v>
      </c>
      <c r="I255" s="2" t="s">
        <v>265</v>
      </c>
      <c r="J255" s="2" t="str">
        <f t="shared" si="32"/>
        <v>Nia Saputra</v>
      </c>
      <c r="K255" s="2" t="s">
        <v>68</v>
      </c>
      <c r="L255" s="2" t="s">
        <v>69</v>
      </c>
      <c r="M255" s="2">
        <v>1</v>
      </c>
      <c r="N255" s="3">
        <v>17800000</v>
      </c>
      <c r="O255" s="3">
        <v>0</v>
      </c>
      <c r="P255" s="3">
        <v>17800000</v>
      </c>
      <c r="Q255" s="3" t="str">
        <f t="shared" si="27"/>
        <v>Normal</v>
      </c>
      <c r="R255" s="2" t="s">
        <v>38</v>
      </c>
      <c r="S255" s="2" t="s">
        <v>22</v>
      </c>
      <c r="T255" s="2" t="s">
        <v>23</v>
      </c>
      <c r="U255">
        <f t="shared" si="26"/>
        <v>1</v>
      </c>
    </row>
    <row r="256" spans="1:21">
      <c r="A256" s="2" t="s">
        <v>505</v>
      </c>
      <c r="B256" s="2" t="s">
        <v>79</v>
      </c>
      <c r="C256" s="2" t="str">
        <f t="shared" si="28"/>
        <v>19/07/2026</v>
      </c>
      <c r="D256" s="5">
        <f t="shared" si="29"/>
        <v>46222</v>
      </c>
      <c r="E256" s="2" t="s">
        <v>65</v>
      </c>
      <c r="F256" s="2" t="str">
        <f t="shared" si="30"/>
        <v>Bandung</v>
      </c>
      <c r="G256" s="2" t="s">
        <v>168</v>
      </c>
      <c r="H256" s="2" t="str">
        <f t="shared" si="31"/>
        <v>Mira Anjani</v>
      </c>
      <c r="I256" s="2"/>
      <c r="J256" s="2" t="str">
        <f t="shared" si="32"/>
        <v>Unknown</v>
      </c>
      <c r="K256" s="2" t="s">
        <v>36</v>
      </c>
      <c r="L256" s="2" t="s">
        <v>37</v>
      </c>
      <c r="M256" s="2">
        <v>1</v>
      </c>
      <c r="N256" s="3">
        <v>22300000</v>
      </c>
      <c r="O256" s="3">
        <v>446000</v>
      </c>
      <c r="P256" s="3">
        <v>21854000</v>
      </c>
      <c r="Q256" s="3" t="str">
        <f t="shared" si="27"/>
        <v>Normal</v>
      </c>
      <c r="R256" s="2" t="s">
        <v>46</v>
      </c>
      <c r="S256" s="2" t="s">
        <v>82</v>
      </c>
      <c r="T256" s="2" t="s">
        <v>30</v>
      </c>
      <c r="U256">
        <f t="shared" si="26"/>
        <v>1</v>
      </c>
    </row>
    <row r="257" spans="1:21">
      <c r="A257" s="2" t="s">
        <v>506</v>
      </c>
      <c r="B257" s="2" t="s">
        <v>64</v>
      </c>
      <c r="C257" s="2" t="str">
        <f t="shared" si="28"/>
        <v>2026-07-13</v>
      </c>
      <c r="D257" s="5">
        <f t="shared" si="29"/>
        <v>46216</v>
      </c>
      <c r="E257" s="2" t="s">
        <v>48</v>
      </c>
      <c r="F257" s="2" t="str">
        <f t="shared" si="30"/>
        <v>Jakarta Selatan</v>
      </c>
      <c r="G257" s="2" t="s">
        <v>27</v>
      </c>
      <c r="H257" s="2" t="str">
        <f t="shared" si="31"/>
        <v>Vino Bastian G.</v>
      </c>
      <c r="I257" s="2" t="s">
        <v>507</v>
      </c>
      <c r="J257" s="2" t="str">
        <f t="shared" si="32"/>
        <v>Qori Saputra</v>
      </c>
      <c r="K257" s="2" t="s">
        <v>99</v>
      </c>
      <c r="L257" s="2" t="s">
        <v>100</v>
      </c>
      <c r="M257" s="2">
        <v>1</v>
      </c>
      <c r="N257" s="3">
        <v>29800000</v>
      </c>
      <c r="O257" s="3">
        <v>894000</v>
      </c>
      <c r="P257" s="3">
        <v>28906000</v>
      </c>
      <c r="Q257" s="3" t="str">
        <f t="shared" si="27"/>
        <v>Normal</v>
      </c>
      <c r="R257" s="2" t="s">
        <v>46</v>
      </c>
      <c r="S257" s="2" t="s">
        <v>22</v>
      </c>
      <c r="T257" s="2" t="s">
        <v>39</v>
      </c>
      <c r="U257">
        <f t="shared" si="26"/>
        <v>1</v>
      </c>
    </row>
    <row r="258" spans="1:21">
      <c r="A258" s="2" t="s">
        <v>508</v>
      </c>
      <c r="B258" s="2" t="s">
        <v>140</v>
      </c>
      <c r="C258" s="2" t="str">
        <f t="shared" si="28"/>
        <v>2026-07-19</v>
      </c>
      <c r="D258" s="5">
        <f t="shared" si="29"/>
        <v>46222</v>
      </c>
      <c r="E258" s="2" t="s">
        <v>33</v>
      </c>
      <c r="F258" s="2" t="str">
        <f t="shared" si="30"/>
        <v>Depok</v>
      </c>
      <c r="G258" s="2" t="s">
        <v>42</v>
      </c>
      <c r="H258" s="2" t="str">
        <f t="shared" si="31"/>
        <v>Lina Marlina</v>
      </c>
      <c r="I258" s="2" t="s">
        <v>509</v>
      </c>
      <c r="J258" s="2" t="str">
        <f t="shared" si="32"/>
        <v>Rendi Firmansyah</v>
      </c>
      <c r="K258" s="2" t="s">
        <v>44</v>
      </c>
      <c r="L258" s="2" t="s">
        <v>45</v>
      </c>
      <c r="M258" s="2">
        <v>1</v>
      </c>
      <c r="N258" s="3">
        <v>24600000</v>
      </c>
      <c r="O258" s="3">
        <v>738000</v>
      </c>
      <c r="P258" s="3">
        <v>23862000</v>
      </c>
      <c r="Q258" s="3" t="str">
        <f t="shared" si="27"/>
        <v>Normal</v>
      </c>
      <c r="R258" s="2" t="s">
        <v>21</v>
      </c>
      <c r="S258" s="2" t="s">
        <v>22</v>
      </c>
      <c r="T258" s="2" t="s">
        <v>30</v>
      </c>
      <c r="U258">
        <f t="shared" ref="U258:U321" si="33">COUNTIF($A$2:$A$342,A258)</f>
        <v>1</v>
      </c>
    </row>
    <row r="259" spans="1:21">
      <c r="A259" s="2" t="s">
        <v>510</v>
      </c>
      <c r="B259" s="2" t="s">
        <v>15</v>
      </c>
      <c r="C259" s="2" t="str">
        <f t="shared" si="28"/>
        <v>2026-07-14</v>
      </c>
      <c r="D259" s="5">
        <f t="shared" si="29"/>
        <v>46217</v>
      </c>
      <c r="E259" s="2" t="s">
        <v>48</v>
      </c>
      <c r="F259" s="2" t="str">
        <f t="shared" si="30"/>
        <v>Jakarta Selatan</v>
      </c>
      <c r="G259" s="2" t="s">
        <v>66</v>
      </c>
      <c r="H259" s="2" t="str">
        <f t="shared" si="31"/>
        <v>Puji Lestari</v>
      </c>
      <c r="I259" s="2" t="s">
        <v>333</v>
      </c>
      <c r="J259" s="2" t="str">
        <f t="shared" si="32"/>
        <v>Irfan Maharani</v>
      </c>
      <c r="K259" s="2" t="s">
        <v>19</v>
      </c>
      <c r="L259" s="2" t="s">
        <v>20</v>
      </c>
      <c r="M259" s="2">
        <v>1</v>
      </c>
      <c r="N259" s="3">
        <v>33500000</v>
      </c>
      <c r="O259" s="3">
        <v>335000</v>
      </c>
      <c r="P259" s="3">
        <v>33165000</v>
      </c>
      <c r="Q259" s="3" t="str">
        <f t="shared" ref="Q259:Q322" si="34">IF(P259=0,"Batal/Refund","Normal")</f>
        <v>Normal</v>
      </c>
      <c r="R259" s="2" t="s">
        <v>21</v>
      </c>
      <c r="S259" s="2" t="s">
        <v>22</v>
      </c>
      <c r="T259" s="2" t="s">
        <v>77</v>
      </c>
      <c r="U259">
        <f t="shared" si="33"/>
        <v>1</v>
      </c>
    </row>
    <row r="260" spans="1:21">
      <c r="A260" s="2" t="s">
        <v>511</v>
      </c>
      <c r="B260" s="2" t="s">
        <v>122</v>
      </c>
      <c r="C260" s="2" t="str">
        <f t="shared" si="28"/>
        <v>17/07/2026</v>
      </c>
      <c r="D260" s="5">
        <f t="shared" si="29"/>
        <v>46220</v>
      </c>
      <c r="E260" s="2" t="s">
        <v>155</v>
      </c>
      <c r="F260" s="2" t="str">
        <f t="shared" si="30"/>
        <v>Tangerang</v>
      </c>
      <c r="G260" s="2" t="s">
        <v>126</v>
      </c>
      <c r="H260" s="2" t="str">
        <f t="shared" si="31"/>
        <v>Oki Setiawan</v>
      </c>
      <c r="I260" s="2" t="s">
        <v>512</v>
      </c>
      <c r="J260" s="2" t="str">
        <f t="shared" si="32"/>
        <v>Putra Lestari</v>
      </c>
      <c r="K260" s="2" t="s">
        <v>44</v>
      </c>
      <c r="L260" s="2" t="s">
        <v>45</v>
      </c>
      <c r="M260" s="2">
        <v>1</v>
      </c>
      <c r="N260" s="3">
        <v>24600000</v>
      </c>
      <c r="O260" s="3">
        <v>492000</v>
      </c>
      <c r="P260" s="3">
        <v>24108000</v>
      </c>
      <c r="Q260" s="3" t="str">
        <f t="shared" si="34"/>
        <v>Normal</v>
      </c>
      <c r="R260" s="2" t="s">
        <v>29</v>
      </c>
      <c r="S260" s="2" t="s">
        <v>22</v>
      </c>
      <c r="T260" s="2" t="s">
        <v>23</v>
      </c>
      <c r="U260">
        <f t="shared" si="33"/>
        <v>1</v>
      </c>
    </row>
    <row r="261" spans="1:21">
      <c r="A261" s="2" t="s">
        <v>513</v>
      </c>
      <c r="B261" s="2" t="s">
        <v>15</v>
      </c>
      <c r="C261" s="2" t="str">
        <f t="shared" si="28"/>
        <v>2026-07-14</v>
      </c>
      <c r="D261" s="5">
        <f t="shared" si="29"/>
        <v>46217</v>
      </c>
      <c r="E261" s="2" t="s">
        <v>85</v>
      </c>
      <c r="F261" s="2" t="str">
        <f t="shared" si="30"/>
        <v>Karawang</v>
      </c>
      <c r="G261" s="2" t="s">
        <v>49</v>
      </c>
      <c r="H261" s="2" t="str">
        <f t="shared" si="31"/>
        <v>Fajar Nugraha</v>
      </c>
      <c r="I261" s="2" t="s">
        <v>349</v>
      </c>
      <c r="J261" s="2" t="str">
        <f t="shared" si="32"/>
        <v>Lala Firmansyah</v>
      </c>
      <c r="K261" s="2" t="s">
        <v>36</v>
      </c>
      <c r="L261" s="2" t="s">
        <v>37</v>
      </c>
      <c r="M261" s="2">
        <v>1</v>
      </c>
      <c r="N261" s="3">
        <v>22300000</v>
      </c>
      <c r="O261" s="3">
        <v>0</v>
      </c>
      <c r="P261" s="3">
        <v>22300000</v>
      </c>
      <c r="Q261" s="3" t="str">
        <f t="shared" si="34"/>
        <v>Normal</v>
      </c>
      <c r="R261" s="2" t="s">
        <v>21</v>
      </c>
      <c r="S261" s="2" t="s">
        <v>22</v>
      </c>
      <c r="T261" s="2" t="s">
        <v>77</v>
      </c>
      <c r="U261">
        <f t="shared" si="33"/>
        <v>1</v>
      </c>
    </row>
    <row r="262" spans="1:21">
      <c r="A262" s="2" t="s">
        <v>514</v>
      </c>
      <c r="B262" s="2" t="s">
        <v>102</v>
      </c>
      <c r="C262" s="2" t="str">
        <f t="shared" si="28"/>
        <v>18/07/2026</v>
      </c>
      <c r="D262" s="5">
        <f t="shared" si="29"/>
        <v>46221</v>
      </c>
      <c r="E262" s="2" t="s">
        <v>148</v>
      </c>
      <c r="F262" s="2" t="str">
        <f t="shared" si="30"/>
        <v>Cikarang</v>
      </c>
      <c r="G262" s="2" t="s">
        <v>94</v>
      </c>
      <c r="H262" s="2" t="str">
        <f t="shared" si="31"/>
        <v>Gita Ayu</v>
      </c>
      <c r="I262" s="2" t="s">
        <v>176</v>
      </c>
      <c r="J262" s="2" t="str">
        <f t="shared" si="32"/>
        <v>Citra Kusuma</v>
      </c>
      <c r="K262" s="2" t="s">
        <v>99</v>
      </c>
      <c r="L262" s="2" t="s">
        <v>100</v>
      </c>
      <c r="M262" s="2">
        <v>1</v>
      </c>
      <c r="N262" s="3">
        <v>29800000</v>
      </c>
      <c r="O262" s="3">
        <v>0</v>
      </c>
      <c r="P262" s="3">
        <v>29800000</v>
      </c>
      <c r="Q262" s="3" t="str">
        <f t="shared" si="34"/>
        <v>Normal</v>
      </c>
      <c r="R262" s="2" t="s">
        <v>21</v>
      </c>
      <c r="S262" s="2" t="s">
        <v>22</v>
      </c>
      <c r="T262" s="2" t="s">
        <v>23</v>
      </c>
      <c r="U262">
        <f t="shared" si="33"/>
        <v>1</v>
      </c>
    </row>
    <row r="263" spans="1:21">
      <c r="A263" s="2" t="s">
        <v>309</v>
      </c>
      <c r="B263" s="2" t="s">
        <v>79</v>
      </c>
      <c r="C263" s="2" t="str">
        <f t="shared" si="28"/>
        <v>19/07/2026</v>
      </c>
      <c r="D263" s="5">
        <f t="shared" si="29"/>
        <v>46222</v>
      </c>
      <c r="E263" s="2" t="s">
        <v>182</v>
      </c>
      <c r="F263" s="2" t="str">
        <f t="shared" si="30"/>
        <v>Bogor</v>
      </c>
      <c r="G263" s="2" t="s">
        <v>80</v>
      </c>
      <c r="H263" s="2" t="str">
        <f t="shared" si="31"/>
        <v>Kiki Amelia</v>
      </c>
      <c r="I263" s="2" t="s">
        <v>310</v>
      </c>
      <c r="J263" s="2" t="str">
        <f t="shared" si="32"/>
        <v>Galih Anggraini</v>
      </c>
      <c r="K263" s="2" t="s">
        <v>142</v>
      </c>
      <c r="L263" s="2" t="s">
        <v>143</v>
      </c>
      <c r="M263" s="2">
        <v>1</v>
      </c>
      <c r="N263" s="3">
        <v>18900000</v>
      </c>
      <c r="O263" s="3">
        <v>567000</v>
      </c>
      <c r="P263" s="3">
        <v>18333000</v>
      </c>
      <c r="Q263" s="3" t="str">
        <f t="shared" si="34"/>
        <v>Normal</v>
      </c>
      <c r="R263" s="2" t="s">
        <v>46</v>
      </c>
      <c r="S263" s="2" t="s">
        <v>22</v>
      </c>
      <c r="T263" s="2" t="s">
        <v>30</v>
      </c>
      <c r="U263">
        <f t="shared" si="33"/>
        <v>1</v>
      </c>
    </row>
    <row r="264" spans="1:21">
      <c r="A264" s="2" t="s">
        <v>515</v>
      </c>
      <c r="B264" s="2" t="s">
        <v>135</v>
      </c>
      <c r="C264" s="2" t="str">
        <f t="shared" ref="C264:C327" si="35">SUBSTITUTE(SUBSTITUTE(SUBSTITUTE(SUBSTITUTE(SUBSTITUTE(SUBSTITUTE(SUBSTITUTE(SUBSTITUTE(SUBSTITUTE(SUBSTITUTE(SUBSTITUTE(SUBSTITUTE(B264," Januari ","/01/")," Februari ","/02/")," Maret ","/03/")," April ","/04/")," Mei ","/05/")," Juni ","/06/")," Juli ","/07/")," Agustus ","/08/")," September ","/09/")," Oktober ","/10/")," November ","/11/")," Desember ","/12/")</f>
        <v>16/07/2026</v>
      </c>
      <c r="D264" s="5">
        <f t="shared" ref="D264:D327" si="36">IFERROR(DATE(VALUE(LEFT(C264,4)),VALUE(MID(C264,6,2)),VALUE(RIGHT(C264,2))),DATE(VALUE(RIGHT(C264,4)),VALUE(MID(C264,4,2)),VALUE(LEFT(C264,2))))</f>
        <v>46219</v>
      </c>
      <c r="E264" s="2" t="s">
        <v>33</v>
      </c>
      <c r="F264" s="2" t="str">
        <f t="shared" ref="F264:F327" si="37">PROPER(TRIM(SUBSTITUTE(SUBSTITUTE(E264,"Jaksel","Jakarta Selatan"),"Tangerang Kota","Tangerang")))</f>
        <v>Depok</v>
      </c>
      <c r="G264" s="2" t="s">
        <v>130</v>
      </c>
      <c r="H264" s="2" t="str">
        <f t="shared" ref="H264:H327" si="38">IF(G264="","Unknown",G264)</f>
        <v>Indah Permata</v>
      </c>
      <c r="I264" s="2" t="s">
        <v>482</v>
      </c>
      <c r="J264" s="2" t="str">
        <f t="shared" ref="J264:J327" si="39">IF(I264="","Unknown",I264)</f>
        <v>Eko Anggraini</v>
      </c>
      <c r="K264" s="2" t="s">
        <v>68</v>
      </c>
      <c r="L264" s="2" t="s">
        <v>69</v>
      </c>
      <c r="M264" s="2">
        <v>1</v>
      </c>
      <c r="N264" s="3">
        <v>17800000</v>
      </c>
      <c r="O264" s="3">
        <v>178000</v>
      </c>
      <c r="P264" s="3">
        <v>17622000</v>
      </c>
      <c r="Q264" s="3" t="str">
        <f t="shared" si="34"/>
        <v>Normal</v>
      </c>
      <c r="R264" s="2" t="s">
        <v>62</v>
      </c>
      <c r="S264" s="2" t="s">
        <v>22</v>
      </c>
      <c r="T264" s="2" t="s">
        <v>23</v>
      </c>
      <c r="U264">
        <f t="shared" si="33"/>
        <v>1</v>
      </c>
    </row>
    <row r="265" spans="1:21">
      <c r="A265" s="2" t="s">
        <v>516</v>
      </c>
      <c r="B265" s="2" t="s">
        <v>140</v>
      </c>
      <c r="C265" s="2" t="str">
        <f t="shared" si="35"/>
        <v>2026-07-19</v>
      </c>
      <c r="D265" s="5">
        <f t="shared" si="36"/>
        <v>46222</v>
      </c>
      <c r="E265" s="2" t="s">
        <v>33</v>
      </c>
      <c r="F265" s="2" t="str">
        <f t="shared" si="37"/>
        <v>Depok</v>
      </c>
      <c r="G265" s="2" t="s">
        <v>49</v>
      </c>
      <c r="H265" s="2" t="str">
        <f t="shared" si="38"/>
        <v>Fajar Nugraha</v>
      </c>
      <c r="I265" s="2" t="s">
        <v>517</v>
      </c>
      <c r="J265" s="2" t="str">
        <f t="shared" si="39"/>
        <v>Galih Lestari</v>
      </c>
      <c r="K265" s="2" t="s">
        <v>19</v>
      </c>
      <c r="L265" s="2" t="s">
        <v>20</v>
      </c>
      <c r="M265" s="2">
        <v>1</v>
      </c>
      <c r="N265" s="3">
        <v>33500000</v>
      </c>
      <c r="O265" s="3">
        <v>335000</v>
      </c>
      <c r="P265" s="3">
        <v>33165000</v>
      </c>
      <c r="Q265" s="3" t="str">
        <f t="shared" si="34"/>
        <v>Normal</v>
      </c>
      <c r="R265" s="2" t="s">
        <v>38</v>
      </c>
      <c r="S265" s="2" t="s">
        <v>22</v>
      </c>
      <c r="T265" s="2" t="s">
        <v>77</v>
      </c>
      <c r="U265">
        <f t="shared" si="33"/>
        <v>1</v>
      </c>
    </row>
    <row r="266" spans="1:21">
      <c r="A266" s="2" t="s">
        <v>518</v>
      </c>
      <c r="B266" s="2" t="s">
        <v>105</v>
      </c>
      <c r="C266" s="2" t="str">
        <f t="shared" si="35"/>
        <v>13/07/2026</v>
      </c>
      <c r="D266" s="5">
        <f t="shared" si="36"/>
        <v>46216</v>
      </c>
      <c r="E266" s="2" t="s">
        <v>155</v>
      </c>
      <c r="F266" s="2" t="str">
        <f t="shared" si="37"/>
        <v>Tangerang</v>
      </c>
      <c r="G266" s="2" t="s">
        <v>42</v>
      </c>
      <c r="H266" s="2" t="str">
        <f t="shared" si="38"/>
        <v>Lina Marlina</v>
      </c>
      <c r="I266" s="2" t="s">
        <v>519</v>
      </c>
      <c r="J266" s="2" t="str">
        <f t="shared" si="39"/>
        <v>Rendi Wijaya</v>
      </c>
      <c r="K266" s="2" t="s">
        <v>99</v>
      </c>
      <c r="L266" s="2" t="s">
        <v>100</v>
      </c>
      <c r="M266" s="2">
        <v>1</v>
      </c>
      <c r="N266" s="3">
        <v>29800000</v>
      </c>
      <c r="O266" s="3">
        <v>298000</v>
      </c>
      <c r="P266" s="3">
        <v>29502000</v>
      </c>
      <c r="Q266" s="3" t="str">
        <f t="shared" si="34"/>
        <v>Normal</v>
      </c>
      <c r="R266" s="2" t="s">
        <v>29</v>
      </c>
      <c r="S266" s="2" t="s">
        <v>22</v>
      </c>
      <c r="T266" s="2" t="s">
        <v>39</v>
      </c>
      <c r="U266">
        <f t="shared" si="33"/>
        <v>1</v>
      </c>
    </row>
    <row r="267" spans="1:21">
      <c r="A267" s="2" t="s">
        <v>520</v>
      </c>
      <c r="B267" s="2" t="s">
        <v>189</v>
      </c>
      <c r="C267" s="2" t="str">
        <f t="shared" si="35"/>
        <v>14/07/2026</v>
      </c>
      <c r="D267" s="5">
        <f t="shared" si="36"/>
        <v>46217</v>
      </c>
      <c r="E267" s="2" t="s">
        <v>182</v>
      </c>
      <c r="F267" s="2" t="str">
        <f t="shared" si="37"/>
        <v>Bogor</v>
      </c>
      <c r="G267" s="2" t="s">
        <v>27</v>
      </c>
      <c r="H267" s="2" t="str">
        <f t="shared" si="38"/>
        <v>Vino Bastian G.</v>
      </c>
      <c r="I267" s="2" t="s">
        <v>521</v>
      </c>
      <c r="J267" s="2" t="str">
        <f t="shared" si="39"/>
        <v>Qori Ramadhan</v>
      </c>
      <c r="K267" s="2" t="s">
        <v>99</v>
      </c>
      <c r="L267" s="2" t="s">
        <v>100</v>
      </c>
      <c r="M267" s="2">
        <v>1</v>
      </c>
      <c r="N267" s="3">
        <v>29800000</v>
      </c>
      <c r="O267" s="3">
        <v>596000</v>
      </c>
      <c r="P267" s="3">
        <v>29204000</v>
      </c>
      <c r="Q267" s="3" t="str">
        <f t="shared" si="34"/>
        <v>Normal</v>
      </c>
      <c r="R267" s="2" t="s">
        <v>21</v>
      </c>
      <c r="S267" s="2" t="s">
        <v>22</v>
      </c>
      <c r="T267" s="2" t="s">
        <v>39</v>
      </c>
      <c r="U267">
        <f t="shared" si="33"/>
        <v>1</v>
      </c>
    </row>
    <row r="268" spans="1:21">
      <c r="A268" s="2" t="s">
        <v>522</v>
      </c>
      <c r="B268" s="2" t="s">
        <v>108</v>
      </c>
      <c r="C268" s="2" t="str">
        <f t="shared" si="35"/>
        <v>2026-07-18</v>
      </c>
      <c r="D268" s="5">
        <f t="shared" si="36"/>
        <v>46221</v>
      </c>
      <c r="E268" s="2" t="s">
        <v>148</v>
      </c>
      <c r="F268" s="2" t="str">
        <f t="shared" si="37"/>
        <v>Cikarang</v>
      </c>
      <c r="G268" s="2" t="s">
        <v>94</v>
      </c>
      <c r="H268" s="2" t="str">
        <f t="shared" si="38"/>
        <v>Gita Ayu</v>
      </c>
      <c r="I268" s="2" t="s">
        <v>35</v>
      </c>
      <c r="J268" s="2" t="str">
        <f t="shared" si="39"/>
        <v>Putra Hidayat</v>
      </c>
      <c r="K268" s="2" t="s">
        <v>36</v>
      </c>
      <c r="L268" s="2" t="s">
        <v>37</v>
      </c>
      <c r="M268" s="2">
        <v>1</v>
      </c>
      <c r="N268" s="3">
        <v>22300000</v>
      </c>
      <c r="O268" s="3">
        <v>446000</v>
      </c>
      <c r="P268" s="3">
        <v>21854000</v>
      </c>
      <c r="Q268" s="3" t="str">
        <f t="shared" si="34"/>
        <v>Normal</v>
      </c>
      <c r="R268" s="2" t="s">
        <v>38</v>
      </c>
      <c r="S268" s="2" t="s">
        <v>22</v>
      </c>
      <c r="T268" s="2" t="s">
        <v>23</v>
      </c>
      <c r="U268">
        <f t="shared" si="33"/>
        <v>1</v>
      </c>
    </row>
    <row r="269" spans="1:21">
      <c r="A269" s="2" t="s">
        <v>523</v>
      </c>
      <c r="B269" s="2" t="s">
        <v>108</v>
      </c>
      <c r="C269" s="2" t="str">
        <f t="shared" si="35"/>
        <v>2026-07-18</v>
      </c>
      <c r="D269" s="5">
        <f t="shared" si="36"/>
        <v>46221</v>
      </c>
      <c r="E269" s="2" t="s">
        <v>182</v>
      </c>
      <c r="F269" s="2" t="str">
        <f t="shared" si="37"/>
        <v>Bogor</v>
      </c>
      <c r="G269" s="2" t="s">
        <v>42</v>
      </c>
      <c r="H269" s="2" t="str">
        <f t="shared" si="38"/>
        <v>Lina Marlina</v>
      </c>
      <c r="I269" s="2" t="s">
        <v>423</v>
      </c>
      <c r="J269" s="2" t="str">
        <f t="shared" si="39"/>
        <v>Siska Pratama</v>
      </c>
      <c r="K269" s="2" t="s">
        <v>68</v>
      </c>
      <c r="L269" s="2" t="s">
        <v>69</v>
      </c>
      <c r="M269" s="2">
        <v>1</v>
      </c>
      <c r="N269" s="3">
        <v>17800000</v>
      </c>
      <c r="O269" s="3">
        <v>178000</v>
      </c>
      <c r="P269" s="3">
        <v>17622000</v>
      </c>
      <c r="Q269" s="3" t="str">
        <f t="shared" si="34"/>
        <v>Normal</v>
      </c>
      <c r="R269" s="2" t="s">
        <v>62</v>
      </c>
      <c r="S269" s="2" t="s">
        <v>22</v>
      </c>
      <c r="T269" s="2" t="s">
        <v>23</v>
      </c>
      <c r="U269">
        <f t="shared" si="33"/>
        <v>1</v>
      </c>
    </row>
    <row r="270" spans="1:21">
      <c r="A270" s="2" t="s">
        <v>524</v>
      </c>
      <c r="B270" s="2" t="s">
        <v>108</v>
      </c>
      <c r="C270" s="2" t="str">
        <f t="shared" si="35"/>
        <v>2026-07-18</v>
      </c>
      <c r="D270" s="5">
        <f t="shared" si="36"/>
        <v>46221</v>
      </c>
      <c r="E270" s="2" t="s">
        <v>148</v>
      </c>
      <c r="F270" s="2" t="str">
        <f t="shared" si="37"/>
        <v>Cikarang</v>
      </c>
      <c r="G270" s="2" t="s">
        <v>75</v>
      </c>
      <c r="H270" s="2" t="str">
        <f t="shared" si="38"/>
        <v>Eka Putri</v>
      </c>
      <c r="I270" s="2" t="s">
        <v>109</v>
      </c>
      <c r="J270" s="2" t="str">
        <f t="shared" si="39"/>
        <v>Irfan Firmansyah</v>
      </c>
      <c r="K270" s="2" t="s">
        <v>44</v>
      </c>
      <c r="L270" s="2" t="s">
        <v>45</v>
      </c>
      <c r="M270" s="2">
        <v>1</v>
      </c>
      <c r="N270" s="3">
        <v>24600000</v>
      </c>
      <c r="O270" s="3">
        <v>738000</v>
      </c>
      <c r="P270" s="3">
        <v>23862000</v>
      </c>
      <c r="Q270" s="3" t="str">
        <f t="shared" si="34"/>
        <v>Normal</v>
      </c>
      <c r="R270" s="2" t="s">
        <v>38</v>
      </c>
      <c r="S270" s="2" t="s">
        <v>22</v>
      </c>
      <c r="T270" s="2" t="s">
        <v>30</v>
      </c>
      <c r="U270">
        <f t="shared" si="33"/>
        <v>1</v>
      </c>
    </row>
    <row r="271" spans="1:21">
      <c r="A271" s="2" t="s">
        <v>525</v>
      </c>
      <c r="B271" s="2" t="s">
        <v>25</v>
      </c>
      <c r="C271" s="2" t="str">
        <f t="shared" si="35"/>
        <v>2026-07-16</v>
      </c>
      <c r="D271" s="5">
        <f t="shared" si="36"/>
        <v>46219</v>
      </c>
      <c r="E271" s="2" t="s">
        <v>48</v>
      </c>
      <c r="F271" s="2" t="str">
        <f t="shared" si="37"/>
        <v>Jakarta Selatan</v>
      </c>
      <c r="G271" s="2" t="s">
        <v>126</v>
      </c>
      <c r="H271" s="2" t="str">
        <f t="shared" si="38"/>
        <v>Oki Setiawan</v>
      </c>
      <c r="I271" s="2" t="s">
        <v>349</v>
      </c>
      <c r="J271" s="2" t="str">
        <f t="shared" si="39"/>
        <v>Lala Firmansyah</v>
      </c>
      <c r="K271" s="2" t="s">
        <v>36</v>
      </c>
      <c r="L271" s="2" t="s">
        <v>37</v>
      </c>
      <c r="M271" s="2">
        <v>1</v>
      </c>
      <c r="N271" s="3">
        <v>22300000</v>
      </c>
      <c r="O271" s="3">
        <v>446000</v>
      </c>
      <c r="P271" s="3">
        <v>21854000</v>
      </c>
      <c r="Q271" s="3" t="str">
        <f t="shared" si="34"/>
        <v>Normal</v>
      </c>
      <c r="R271" s="2" t="s">
        <v>62</v>
      </c>
      <c r="S271" s="2" t="s">
        <v>82</v>
      </c>
      <c r="T271" s="2" t="s">
        <v>30</v>
      </c>
      <c r="U271">
        <f t="shared" si="33"/>
        <v>1</v>
      </c>
    </row>
    <row r="272" spans="1:21">
      <c r="A272" s="2" t="s">
        <v>526</v>
      </c>
      <c r="B272" s="2" t="s">
        <v>135</v>
      </c>
      <c r="C272" s="2" t="str">
        <f t="shared" si="35"/>
        <v>16/07/2026</v>
      </c>
      <c r="D272" s="5">
        <f t="shared" si="36"/>
        <v>46219</v>
      </c>
      <c r="E272" s="2" t="s">
        <v>33</v>
      </c>
      <c r="F272" s="2" t="str">
        <f t="shared" si="37"/>
        <v>Depok</v>
      </c>
      <c r="G272" s="2" t="s">
        <v>17</v>
      </c>
      <c r="H272" s="2" t="str">
        <f t="shared" si="38"/>
        <v>Taufik Hidayat</v>
      </c>
      <c r="I272" s="2" t="s">
        <v>156</v>
      </c>
      <c r="J272" s="2" t="str">
        <f t="shared" si="39"/>
        <v>Kevin Firmansyah</v>
      </c>
      <c r="K272" s="2" t="s">
        <v>19</v>
      </c>
      <c r="L272" s="2" t="s">
        <v>20</v>
      </c>
      <c r="M272" s="2">
        <v>1</v>
      </c>
      <c r="N272" s="3">
        <v>33500000</v>
      </c>
      <c r="O272" s="3">
        <v>1005000</v>
      </c>
      <c r="P272" s="3">
        <v>32495000</v>
      </c>
      <c r="Q272" s="3" t="str">
        <f t="shared" si="34"/>
        <v>Normal</v>
      </c>
      <c r="R272" s="2" t="s">
        <v>21</v>
      </c>
      <c r="S272" s="2" t="s">
        <v>22</v>
      </c>
      <c r="T272" s="2" t="s">
        <v>77</v>
      </c>
      <c r="U272">
        <f t="shared" si="33"/>
        <v>1</v>
      </c>
    </row>
    <row r="273" spans="1:21">
      <c r="A273" s="2" t="s">
        <v>527</v>
      </c>
      <c r="B273" s="2" t="s">
        <v>79</v>
      </c>
      <c r="C273" s="2" t="str">
        <f t="shared" si="35"/>
        <v>19/07/2026</v>
      </c>
      <c r="D273" s="5">
        <f t="shared" si="36"/>
        <v>46222</v>
      </c>
      <c r="E273" s="2" t="s">
        <v>182</v>
      </c>
      <c r="F273" s="2" t="str">
        <f t="shared" si="37"/>
        <v>Bogor</v>
      </c>
      <c r="G273" s="2" t="s">
        <v>94</v>
      </c>
      <c r="H273" s="2" t="str">
        <f t="shared" si="38"/>
        <v>Gita Ayu</v>
      </c>
      <c r="I273" s="2" t="s">
        <v>103</v>
      </c>
      <c r="J273" s="2" t="str">
        <f t="shared" si="39"/>
        <v>Qori Lestari</v>
      </c>
      <c r="K273" s="2" t="s">
        <v>44</v>
      </c>
      <c r="L273" s="2" t="s">
        <v>45</v>
      </c>
      <c r="M273" s="2">
        <v>1</v>
      </c>
      <c r="N273" s="3">
        <v>24600000</v>
      </c>
      <c r="O273" s="3">
        <v>738000</v>
      </c>
      <c r="P273" s="3">
        <v>23862000</v>
      </c>
      <c r="Q273" s="3" t="str">
        <f t="shared" si="34"/>
        <v>Normal</v>
      </c>
      <c r="R273" s="2" t="s">
        <v>29</v>
      </c>
      <c r="S273" s="2" t="s">
        <v>22</v>
      </c>
      <c r="T273" s="2" t="s">
        <v>77</v>
      </c>
      <c r="U273">
        <f t="shared" si="33"/>
        <v>1</v>
      </c>
    </row>
    <row r="274" spans="1:21">
      <c r="A274" s="2" t="s">
        <v>528</v>
      </c>
      <c r="B274" s="2" t="s">
        <v>25</v>
      </c>
      <c r="C274" s="2" t="str">
        <f t="shared" si="35"/>
        <v>2026-07-16</v>
      </c>
      <c r="D274" s="5">
        <f t="shared" si="36"/>
        <v>46219</v>
      </c>
      <c r="E274" s="2" t="s">
        <v>26</v>
      </c>
      <c r="F274" s="2" t="str">
        <f t="shared" si="37"/>
        <v>Sukabumi</v>
      </c>
      <c r="G274" s="2" t="s">
        <v>80</v>
      </c>
      <c r="H274" s="2" t="str">
        <f t="shared" si="38"/>
        <v>Kiki Amelia</v>
      </c>
      <c r="I274" s="2" t="s">
        <v>529</v>
      </c>
      <c r="J274" s="2" t="str">
        <f t="shared" si="39"/>
        <v>Siska Wijaya</v>
      </c>
      <c r="K274" s="2" t="s">
        <v>19</v>
      </c>
      <c r="L274" s="2" t="s">
        <v>20</v>
      </c>
      <c r="M274" s="2">
        <v>1</v>
      </c>
      <c r="N274" s="3">
        <v>33500000</v>
      </c>
      <c r="O274" s="3">
        <v>670000</v>
      </c>
      <c r="P274" s="3">
        <v>32830000</v>
      </c>
      <c r="Q274" s="3" t="str">
        <f t="shared" si="34"/>
        <v>Normal</v>
      </c>
      <c r="R274" s="2" t="s">
        <v>62</v>
      </c>
      <c r="S274" s="2" t="s">
        <v>22</v>
      </c>
      <c r="T274" s="2" t="s">
        <v>77</v>
      </c>
      <c r="U274">
        <f t="shared" si="33"/>
        <v>1</v>
      </c>
    </row>
    <row r="275" spans="1:21">
      <c r="A275" s="2" t="s">
        <v>530</v>
      </c>
      <c r="B275" s="2" t="s">
        <v>15</v>
      </c>
      <c r="C275" s="2" t="str">
        <f t="shared" si="35"/>
        <v>2026-07-14</v>
      </c>
      <c r="D275" s="5">
        <f t="shared" si="36"/>
        <v>46217</v>
      </c>
      <c r="E275" s="2" t="s">
        <v>48</v>
      </c>
      <c r="F275" s="2" t="str">
        <f t="shared" si="37"/>
        <v>Jakarta Selatan</v>
      </c>
      <c r="G275" s="2" t="s">
        <v>98</v>
      </c>
      <c r="H275" s="2" t="str">
        <f t="shared" si="38"/>
        <v>Rangga Saputra</v>
      </c>
      <c r="I275" s="2" t="s">
        <v>495</v>
      </c>
      <c r="J275" s="2" t="str">
        <f t="shared" si="39"/>
        <v>Jihan Hidayat</v>
      </c>
      <c r="K275" s="2" t="s">
        <v>142</v>
      </c>
      <c r="L275" s="2" t="s">
        <v>143</v>
      </c>
      <c r="M275" s="2">
        <v>1</v>
      </c>
      <c r="N275" s="3">
        <v>18900000</v>
      </c>
      <c r="O275" s="3">
        <v>0</v>
      </c>
      <c r="P275" s="3">
        <v>18900000</v>
      </c>
      <c r="Q275" s="3" t="str">
        <f t="shared" si="34"/>
        <v>Normal</v>
      </c>
      <c r="R275" s="2" t="s">
        <v>21</v>
      </c>
      <c r="S275" s="2" t="s">
        <v>22</v>
      </c>
      <c r="T275" s="2" t="s">
        <v>39</v>
      </c>
      <c r="U275">
        <f t="shared" si="33"/>
        <v>1</v>
      </c>
    </row>
    <row r="276" spans="1:21">
      <c r="A276" s="2" t="s">
        <v>531</v>
      </c>
      <c r="B276" s="2" t="s">
        <v>162</v>
      </c>
      <c r="C276" s="2" t="str">
        <f t="shared" si="35"/>
        <v>18/07/2026</v>
      </c>
      <c r="D276" s="5">
        <f t="shared" si="36"/>
        <v>46221</v>
      </c>
      <c r="E276" s="2" t="s">
        <v>71</v>
      </c>
      <c r="F276" s="2" t="str">
        <f t="shared" si="37"/>
        <v>Bekasi</v>
      </c>
      <c r="G276" s="2" t="s">
        <v>201</v>
      </c>
      <c r="H276" s="2" t="str">
        <f t="shared" si="38"/>
        <v>Nanda Pratama</v>
      </c>
      <c r="I276" s="2" t="s">
        <v>275</v>
      </c>
      <c r="J276" s="2" t="str">
        <f t="shared" si="39"/>
        <v>Nia Firmansyah</v>
      </c>
      <c r="K276" s="2" t="s">
        <v>36</v>
      </c>
      <c r="L276" s="2" t="s">
        <v>37</v>
      </c>
      <c r="M276" s="2">
        <v>1</v>
      </c>
      <c r="N276" s="3">
        <v>22300000</v>
      </c>
      <c r="O276" s="3">
        <v>669000</v>
      </c>
      <c r="P276" s="3">
        <v>21631000</v>
      </c>
      <c r="Q276" s="3" t="str">
        <f t="shared" si="34"/>
        <v>Normal</v>
      </c>
      <c r="R276" s="2" t="s">
        <v>21</v>
      </c>
      <c r="S276" s="2" t="s">
        <v>82</v>
      </c>
      <c r="T276" s="2" t="s">
        <v>39</v>
      </c>
      <c r="U276">
        <f t="shared" si="33"/>
        <v>1</v>
      </c>
    </row>
    <row r="277" spans="1:21">
      <c r="A277" s="2" t="s">
        <v>532</v>
      </c>
      <c r="B277" s="2" t="s">
        <v>111</v>
      </c>
      <c r="C277" s="2" t="str">
        <f t="shared" si="35"/>
        <v>14/07/2026</v>
      </c>
      <c r="D277" s="5">
        <f t="shared" si="36"/>
        <v>46217</v>
      </c>
      <c r="E277" s="2" t="s">
        <v>16</v>
      </c>
      <c r="F277" s="2" t="str">
        <f t="shared" si="37"/>
        <v>Cibubur</v>
      </c>
      <c r="G277" s="2" t="s">
        <v>58</v>
      </c>
      <c r="H277" s="2" t="str">
        <f t="shared" si="38"/>
        <v>Umi Kalsum</v>
      </c>
      <c r="I277" s="2" t="s">
        <v>320</v>
      </c>
      <c r="J277" s="2" t="str">
        <f t="shared" si="39"/>
        <v>Rendi Hidayat</v>
      </c>
      <c r="K277" s="2" t="s">
        <v>68</v>
      </c>
      <c r="L277" s="2" t="s">
        <v>69</v>
      </c>
      <c r="M277" s="2">
        <v>1</v>
      </c>
      <c r="N277" s="3">
        <v>17800000</v>
      </c>
      <c r="O277" s="3">
        <v>0</v>
      </c>
      <c r="P277" s="3">
        <v>17800000</v>
      </c>
      <c r="Q277" s="3" t="str">
        <f t="shared" si="34"/>
        <v>Normal</v>
      </c>
      <c r="R277" s="2" t="s">
        <v>38</v>
      </c>
      <c r="S277" s="2" t="s">
        <v>22</v>
      </c>
      <c r="T277" s="2" t="s">
        <v>39</v>
      </c>
      <c r="U277">
        <f t="shared" si="33"/>
        <v>1</v>
      </c>
    </row>
    <row r="278" spans="1:21">
      <c r="A278" s="2" t="s">
        <v>533</v>
      </c>
      <c r="B278" s="2" t="s">
        <v>162</v>
      </c>
      <c r="C278" s="2" t="str">
        <f t="shared" si="35"/>
        <v>18/07/2026</v>
      </c>
      <c r="D278" s="5">
        <f t="shared" si="36"/>
        <v>46221</v>
      </c>
      <c r="E278" s="2" t="s">
        <v>155</v>
      </c>
      <c r="F278" s="2" t="str">
        <f t="shared" si="37"/>
        <v>Tangerang</v>
      </c>
      <c r="G278" s="2" t="s">
        <v>126</v>
      </c>
      <c r="H278" s="2" t="str">
        <f t="shared" si="38"/>
        <v>Oki Setiawan</v>
      </c>
      <c r="I278" s="2" t="s">
        <v>225</v>
      </c>
      <c r="J278" s="2" t="str">
        <f t="shared" si="39"/>
        <v>Dewi Hidayat</v>
      </c>
      <c r="K278" s="2" t="s">
        <v>142</v>
      </c>
      <c r="L278" s="2" t="s">
        <v>143</v>
      </c>
      <c r="M278" s="2">
        <v>1</v>
      </c>
      <c r="N278" s="3">
        <v>18900000</v>
      </c>
      <c r="O278" s="3">
        <v>945000</v>
      </c>
      <c r="P278" s="3">
        <v>17955000</v>
      </c>
      <c r="Q278" s="3" t="str">
        <f t="shared" si="34"/>
        <v>Normal</v>
      </c>
      <c r="R278" s="2" t="s">
        <v>29</v>
      </c>
      <c r="S278" s="2" t="s">
        <v>22</v>
      </c>
      <c r="T278" s="2" t="s">
        <v>39</v>
      </c>
      <c r="U278">
        <f t="shared" si="33"/>
        <v>1</v>
      </c>
    </row>
    <row r="279" spans="1:21">
      <c r="A279" s="2" t="s">
        <v>534</v>
      </c>
      <c r="B279" s="2" t="s">
        <v>125</v>
      </c>
      <c r="C279" s="2" t="str">
        <f t="shared" si="35"/>
        <v>16/07/2026</v>
      </c>
      <c r="D279" s="5">
        <f t="shared" si="36"/>
        <v>46219</v>
      </c>
      <c r="E279" s="2" t="s">
        <v>155</v>
      </c>
      <c r="F279" s="2" t="str">
        <f t="shared" si="37"/>
        <v>Tangerang</v>
      </c>
      <c r="G279" s="2"/>
      <c r="H279" s="2" t="str">
        <f t="shared" si="38"/>
        <v>Unknown</v>
      </c>
      <c r="I279" s="2" t="s">
        <v>223</v>
      </c>
      <c r="J279" s="2" t="str">
        <f t="shared" si="39"/>
        <v>Rendi Kusuma</v>
      </c>
      <c r="K279" s="2" t="s">
        <v>152</v>
      </c>
      <c r="L279" s="2" t="s">
        <v>153</v>
      </c>
      <c r="M279" s="2">
        <v>1</v>
      </c>
      <c r="N279" s="3">
        <v>27400000</v>
      </c>
      <c r="O279" s="3">
        <v>0</v>
      </c>
      <c r="P279" s="3">
        <v>27400000</v>
      </c>
      <c r="Q279" s="3" t="str">
        <f t="shared" si="34"/>
        <v>Normal</v>
      </c>
      <c r="R279" s="2" t="s">
        <v>46</v>
      </c>
      <c r="S279" s="2" t="s">
        <v>82</v>
      </c>
      <c r="T279" s="2" t="s">
        <v>39</v>
      </c>
      <c r="U279">
        <f t="shared" si="33"/>
        <v>1</v>
      </c>
    </row>
    <row r="280" spans="1:21">
      <c r="A280" s="2" t="s">
        <v>535</v>
      </c>
      <c r="B280" s="2" t="s">
        <v>102</v>
      </c>
      <c r="C280" s="2" t="str">
        <f t="shared" si="35"/>
        <v>18/07/2026</v>
      </c>
      <c r="D280" s="5">
        <f t="shared" si="36"/>
        <v>46221</v>
      </c>
      <c r="E280" s="2" t="s">
        <v>16</v>
      </c>
      <c r="F280" s="2" t="str">
        <f t="shared" si="37"/>
        <v>Cibubur</v>
      </c>
      <c r="G280" s="2"/>
      <c r="H280" s="2" t="str">
        <f t="shared" si="38"/>
        <v>Unknown</v>
      </c>
      <c r="I280" s="2" t="s">
        <v>116</v>
      </c>
      <c r="J280" s="2" t="str">
        <f t="shared" si="39"/>
        <v>Irfan Pratama</v>
      </c>
      <c r="K280" s="2" t="s">
        <v>36</v>
      </c>
      <c r="L280" s="2" t="s">
        <v>37</v>
      </c>
      <c r="M280" s="2">
        <v>2</v>
      </c>
      <c r="N280" s="3">
        <v>22300000</v>
      </c>
      <c r="O280" s="3">
        <v>446000</v>
      </c>
      <c r="P280" s="3">
        <v>44154000</v>
      </c>
      <c r="Q280" s="3" t="str">
        <f t="shared" si="34"/>
        <v>Normal</v>
      </c>
      <c r="R280" s="2" t="s">
        <v>46</v>
      </c>
      <c r="S280" s="2" t="s">
        <v>22</v>
      </c>
      <c r="T280" s="2" t="s">
        <v>39</v>
      </c>
      <c r="U280">
        <f t="shared" si="33"/>
        <v>1</v>
      </c>
    </row>
    <row r="281" spans="1:21">
      <c r="A281" s="2" t="s">
        <v>536</v>
      </c>
      <c r="B281" s="2" t="s">
        <v>108</v>
      </c>
      <c r="C281" s="2" t="str">
        <f t="shared" si="35"/>
        <v>2026-07-18</v>
      </c>
      <c r="D281" s="5">
        <f t="shared" si="36"/>
        <v>46221</v>
      </c>
      <c r="E281" s="2" t="s">
        <v>97</v>
      </c>
      <c r="F281" s="2" t="str">
        <f t="shared" si="37"/>
        <v>Serang</v>
      </c>
      <c r="G281" s="2" t="s">
        <v>94</v>
      </c>
      <c r="H281" s="2" t="str">
        <f t="shared" si="38"/>
        <v>Gita Ayu</v>
      </c>
      <c r="I281" s="2" t="s">
        <v>402</v>
      </c>
      <c r="J281" s="2" t="str">
        <f t="shared" si="39"/>
        <v>Made Saputra</v>
      </c>
      <c r="K281" s="2" t="s">
        <v>99</v>
      </c>
      <c r="L281" s="2" t="s">
        <v>100</v>
      </c>
      <c r="M281" s="2">
        <v>1</v>
      </c>
      <c r="N281" s="3">
        <v>29800000</v>
      </c>
      <c r="O281" s="3">
        <v>298000</v>
      </c>
      <c r="P281" s="3">
        <v>29502000</v>
      </c>
      <c r="Q281" s="3" t="str">
        <f t="shared" si="34"/>
        <v>Normal</v>
      </c>
      <c r="R281" s="2" t="s">
        <v>46</v>
      </c>
      <c r="S281" s="2" t="s">
        <v>22</v>
      </c>
      <c r="T281" s="2" t="s">
        <v>77</v>
      </c>
      <c r="U281">
        <f t="shared" si="33"/>
        <v>1</v>
      </c>
    </row>
    <row r="282" spans="1:21">
      <c r="A282" s="2" t="s">
        <v>537</v>
      </c>
      <c r="B282" s="2" t="s">
        <v>41</v>
      </c>
      <c r="C282" s="2" t="str">
        <f t="shared" si="35"/>
        <v>15/07/2026</v>
      </c>
      <c r="D282" s="5">
        <f t="shared" si="36"/>
        <v>46218</v>
      </c>
      <c r="E282" s="2" t="s">
        <v>85</v>
      </c>
      <c r="F282" s="2" t="str">
        <f t="shared" si="37"/>
        <v>Karawang</v>
      </c>
      <c r="G282" s="2" t="s">
        <v>58</v>
      </c>
      <c r="H282" s="2" t="str">
        <f t="shared" si="38"/>
        <v>Umi Kalsum</v>
      </c>
      <c r="I282" s="2" t="s">
        <v>76</v>
      </c>
      <c r="J282" s="2" t="str">
        <f t="shared" si="39"/>
        <v>Ahmad Hidayat</v>
      </c>
      <c r="K282" s="2" t="s">
        <v>60</v>
      </c>
      <c r="L282" s="2" t="s">
        <v>61</v>
      </c>
      <c r="M282" s="2">
        <v>1</v>
      </c>
      <c r="N282" s="3">
        <v>21500000</v>
      </c>
      <c r="O282" s="3">
        <v>645000</v>
      </c>
      <c r="P282" s="3">
        <v>20855000</v>
      </c>
      <c r="Q282" s="3" t="str">
        <f t="shared" si="34"/>
        <v>Normal</v>
      </c>
      <c r="R282" s="2" t="s">
        <v>29</v>
      </c>
      <c r="S282" s="2" t="s">
        <v>22</v>
      </c>
      <c r="T282" s="2" t="s">
        <v>39</v>
      </c>
      <c r="U282">
        <f t="shared" si="33"/>
        <v>1</v>
      </c>
    </row>
    <row r="283" spans="1:21">
      <c r="A283" s="2" t="s">
        <v>538</v>
      </c>
      <c r="B283" s="2" t="s">
        <v>25</v>
      </c>
      <c r="C283" s="2" t="str">
        <f t="shared" si="35"/>
        <v>2026-07-16</v>
      </c>
      <c r="D283" s="5">
        <f t="shared" si="36"/>
        <v>46219</v>
      </c>
      <c r="E283" s="2" t="s">
        <v>148</v>
      </c>
      <c r="F283" s="2" t="str">
        <f t="shared" si="37"/>
        <v>Cikarang</v>
      </c>
      <c r="G283" s="2" t="s">
        <v>98</v>
      </c>
      <c r="H283" s="2" t="str">
        <f t="shared" si="38"/>
        <v>Rangga Saputra</v>
      </c>
      <c r="I283" s="2" t="s">
        <v>418</v>
      </c>
      <c r="J283" s="2" t="str">
        <f t="shared" si="39"/>
        <v>Lala Kusuma</v>
      </c>
      <c r="K283" s="2" t="s">
        <v>99</v>
      </c>
      <c r="L283" s="2" t="s">
        <v>100</v>
      </c>
      <c r="M283" s="2">
        <v>1</v>
      </c>
      <c r="N283" s="3">
        <v>29800000</v>
      </c>
      <c r="O283" s="3">
        <v>1490000</v>
      </c>
      <c r="P283" s="3">
        <v>28310000</v>
      </c>
      <c r="Q283" s="3" t="str">
        <f t="shared" si="34"/>
        <v>Normal</v>
      </c>
      <c r="R283" s="2" t="s">
        <v>29</v>
      </c>
      <c r="S283" s="2" t="s">
        <v>22</v>
      </c>
      <c r="T283" s="2" t="s">
        <v>77</v>
      </c>
      <c r="U283">
        <f t="shared" si="33"/>
        <v>1</v>
      </c>
    </row>
    <row r="284" spans="1:21">
      <c r="A284" s="2" t="s">
        <v>539</v>
      </c>
      <c r="B284" s="2" t="s">
        <v>111</v>
      </c>
      <c r="C284" s="2" t="str">
        <f t="shared" si="35"/>
        <v>14/07/2026</v>
      </c>
      <c r="D284" s="5">
        <f t="shared" si="36"/>
        <v>46217</v>
      </c>
      <c r="E284" s="2" t="s">
        <v>85</v>
      </c>
      <c r="F284" s="2" t="str">
        <f t="shared" si="37"/>
        <v>Karawang</v>
      </c>
      <c r="G284" s="2" t="s">
        <v>72</v>
      </c>
      <c r="H284" s="2" t="str">
        <f t="shared" si="38"/>
        <v>Sari Dewi</v>
      </c>
      <c r="I284" s="2" t="s">
        <v>540</v>
      </c>
      <c r="J284" s="2" t="str">
        <f t="shared" si="39"/>
        <v>Ahmad Saputra</v>
      </c>
      <c r="K284" s="2" t="s">
        <v>142</v>
      </c>
      <c r="L284" s="2" t="s">
        <v>143</v>
      </c>
      <c r="M284" s="2">
        <v>1</v>
      </c>
      <c r="N284" s="3">
        <v>18900000</v>
      </c>
      <c r="O284" s="3">
        <v>0</v>
      </c>
      <c r="P284" s="3">
        <v>18900000</v>
      </c>
      <c r="Q284" s="3" t="str">
        <f t="shared" si="34"/>
        <v>Normal</v>
      </c>
      <c r="R284" s="2" t="s">
        <v>38</v>
      </c>
      <c r="S284" s="2" t="s">
        <v>22</v>
      </c>
      <c r="T284" s="2" t="s">
        <v>23</v>
      </c>
      <c r="U284">
        <f t="shared" si="33"/>
        <v>1</v>
      </c>
    </row>
    <row r="285" spans="1:21">
      <c r="A285" s="2" t="s">
        <v>541</v>
      </c>
      <c r="B285" s="2" t="s">
        <v>125</v>
      </c>
      <c r="C285" s="2" t="str">
        <f t="shared" si="35"/>
        <v>16/07/2026</v>
      </c>
      <c r="D285" s="5">
        <f t="shared" si="36"/>
        <v>46219</v>
      </c>
      <c r="E285" s="2" t="s">
        <v>65</v>
      </c>
      <c r="F285" s="2" t="str">
        <f t="shared" si="37"/>
        <v>Bandung</v>
      </c>
      <c r="G285" s="2" t="s">
        <v>201</v>
      </c>
      <c r="H285" s="2" t="str">
        <f t="shared" si="38"/>
        <v>Nanda Pratama</v>
      </c>
      <c r="I285" s="2" t="s">
        <v>484</v>
      </c>
      <c r="J285" s="2" t="str">
        <f t="shared" si="39"/>
        <v>Hana Saputra</v>
      </c>
      <c r="K285" s="2" t="s">
        <v>60</v>
      </c>
      <c r="L285" s="2" t="s">
        <v>61</v>
      </c>
      <c r="M285" s="2">
        <v>1</v>
      </c>
      <c r="N285" s="3">
        <v>21500000</v>
      </c>
      <c r="O285" s="3">
        <v>0</v>
      </c>
      <c r="P285" s="3">
        <v>21500000</v>
      </c>
      <c r="Q285" s="3" t="str">
        <f t="shared" si="34"/>
        <v>Normal</v>
      </c>
      <c r="R285" s="2" t="s">
        <v>29</v>
      </c>
      <c r="S285" s="2" t="s">
        <v>87</v>
      </c>
      <c r="T285" s="2" t="s">
        <v>23</v>
      </c>
      <c r="U285">
        <f t="shared" si="33"/>
        <v>1</v>
      </c>
    </row>
    <row r="286" spans="1:21">
      <c r="A286" s="2" t="s">
        <v>542</v>
      </c>
      <c r="B286" s="2" t="s">
        <v>162</v>
      </c>
      <c r="C286" s="2" t="str">
        <f t="shared" si="35"/>
        <v>18/07/2026</v>
      </c>
      <c r="D286" s="5">
        <f t="shared" si="36"/>
        <v>46221</v>
      </c>
      <c r="E286" s="2" t="s">
        <v>48</v>
      </c>
      <c r="F286" s="2" t="str">
        <f t="shared" si="37"/>
        <v>Jakarta Selatan</v>
      </c>
      <c r="G286" s="2" t="s">
        <v>113</v>
      </c>
      <c r="H286" s="2" t="str">
        <f t="shared" si="38"/>
        <v>Lukman Hakim</v>
      </c>
      <c r="I286" s="2" t="s">
        <v>543</v>
      </c>
      <c r="J286" s="2" t="str">
        <f t="shared" si="39"/>
        <v>Budi Pratama</v>
      </c>
      <c r="K286" s="2" t="s">
        <v>91</v>
      </c>
      <c r="L286" s="2" t="s">
        <v>92</v>
      </c>
      <c r="M286" s="2">
        <v>1</v>
      </c>
      <c r="N286" s="3">
        <v>26900000</v>
      </c>
      <c r="O286" s="3">
        <v>1345000</v>
      </c>
      <c r="P286" s="3">
        <v>25555000</v>
      </c>
      <c r="Q286" s="3" t="str">
        <f t="shared" si="34"/>
        <v>Normal</v>
      </c>
      <c r="R286" s="2" t="s">
        <v>62</v>
      </c>
      <c r="S286" s="2" t="s">
        <v>22</v>
      </c>
      <c r="T286" s="2" t="s">
        <v>23</v>
      </c>
      <c r="U286">
        <f t="shared" si="33"/>
        <v>1</v>
      </c>
    </row>
    <row r="287" spans="1:21">
      <c r="A287" s="2" t="s">
        <v>544</v>
      </c>
      <c r="B287" s="2" t="s">
        <v>84</v>
      </c>
      <c r="C287" s="2" t="str">
        <f t="shared" si="35"/>
        <v>2026-07-15</v>
      </c>
      <c r="D287" s="5">
        <f t="shared" si="36"/>
        <v>46218</v>
      </c>
      <c r="E287" s="2" t="s">
        <v>285</v>
      </c>
      <c r="F287" s="2" t="str">
        <f t="shared" si="37"/>
        <v>Jakarta Selatan</v>
      </c>
      <c r="G287" s="2" t="s">
        <v>72</v>
      </c>
      <c r="H287" s="2" t="str">
        <f t="shared" si="38"/>
        <v>Sari Dewi</v>
      </c>
      <c r="I287" s="2" t="s">
        <v>249</v>
      </c>
      <c r="J287" s="2" t="str">
        <f t="shared" si="39"/>
        <v>Citra Lestari</v>
      </c>
      <c r="K287" s="2" t="s">
        <v>19</v>
      </c>
      <c r="L287" s="2" t="s">
        <v>20</v>
      </c>
      <c r="M287" s="2">
        <v>1</v>
      </c>
      <c r="N287" s="3">
        <v>33500000</v>
      </c>
      <c r="O287" s="3">
        <v>0</v>
      </c>
      <c r="P287" s="3">
        <v>33500000</v>
      </c>
      <c r="Q287" s="3" t="str">
        <f t="shared" si="34"/>
        <v>Normal</v>
      </c>
      <c r="R287" s="2" t="s">
        <v>29</v>
      </c>
      <c r="S287" s="2" t="s">
        <v>87</v>
      </c>
      <c r="T287" s="2" t="s">
        <v>77</v>
      </c>
      <c r="U287">
        <f t="shared" si="33"/>
        <v>1</v>
      </c>
    </row>
    <row r="288" spans="1:21">
      <c r="A288" s="2" t="s">
        <v>545</v>
      </c>
      <c r="B288" s="2" t="s">
        <v>25</v>
      </c>
      <c r="C288" s="2" t="str">
        <f t="shared" si="35"/>
        <v>2026-07-16</v>
      </c>
      <c r="D288" s="5">
        <f t="shared" si="36"/>
        <v>46219</v>
      </c>
      <c r="E288" s="2" t="s">
        <v>26</v>
      </c>
      <c r="F288" s="2" t="str">
        <f t="shared" si="37"/>
        <v>Sukabumi</v>
      </c>
      <c r="G288" s="2" t="s">
        <v>75</v>
      </c>
      <c r="H288" s="2" t="str">
        <f t="shared" si="38"/>
        <v>Eka Putri</v>
      </c>
      <c r="I288" s="2" t="s">
        <v>546</v>
      </c>
      <c r="J288" s="2" t="str">
        <f t="shared" si="39"/>
        <v>Hana Lestari</v>
      </c>
      <c r="K288" s="2" t="s">
        <v>51</v>
      </c>
      <c r="L288" s="2" t="s">
        <v>52</v>
      </c>
      <c r="M288" s="2">
        <v>1</v>
      </c>
      <c r="N288" s="3">
        <v>41000000</v>
      </c>
      <c r="O288" s="3">
        <v>0</v>
      </c>
      <c r="P288" s="3">
        <v>41000000</v>
      </c>
      <c r="Q288" s="3" t="str">
        <f t="shared" si="34"/>
        <v>Normal</v>
      </c>
      <c r="R288" s="2" t="s">
        <v>62</v>
      </c>
      <c r="S288" s="2" t="s">
        <v>22</v>
      </c>
      <c r="T288" s="2" t="s">
        <v>77</v>
      </c>
      <c r="U288">
        <f t="shared" si="33"/>
        <v>1</v>
      </c>
    </row>
    <row r="289" spans="1:21">
      <c r="A289" s="2" t="s">
        <v>547</v>
      </c>
      <c r="B289" s="2" t="s">
        <v>108</v>
      </c>
      <c r="C289" s="2" t="str">
        <f t="shared" si="35"/>
        <v>2026-07-18</v>
      </c>
      <c r="D289" s="5">
        <f t="shared" si="36"/>
        <v>46221</v>
      </c>
      <c r="E289" s="2" t="s">
        <v>97</v>
      </c>
      <c r="F289" s="2" t="str">
        <f t="shared" si="37"/>
        <v>Serang</v>
      </c>
      <c r="G289" s="2" t="s">
        <v>42</v>
      </c>
      <c r="H289" s="2" t="str">
        <f t="shared" si="38"/>
        <v>Lina Marlina</v>
      </c>
      <c r="I289" s="2" t="s">
        <v>450</v>
      </c>
      <c r="J289" s="2" t="str">
        <f t="shared" si="39"/>
        <v>Jihan Anggraini</v>
      </c>
      <c r="K289" s="2" t="s">
        <v>152</v>
      </c>
      <c r="L289" s="2" t="s">
        <v>153</v>
      </c>
      <c r="M289" s="2">
        <v>1</v>
      </c>
      <c r="N289" s="3">
        <v>27400000</v>
      </c>
      <c r="O289" s="3">
        <v>0</v>
      </c>
      <c r="P289" s="3">
        <v>27400000</v>
      </c>
      <c r="Q289" s="3" t="str">
        <f t="shared" si="34"/>
        <v>Normal</v>
      </c>
      <c r="R289" s="2" t="s">
        <v>21</v>
      </c>
      <c r="S289" s="2" t="s">
        <v>22</v>
      </c>
      <c r="T289" s="2" t="s">
        <v>30</v>
      </c>
      <c r="U289">
        <f t="shared" si="33"/>
        <v>1</v>
      </c>
    </row>
    <row r="290" spans="1:21">
      <c r="A290" s="2" t="s">
        <v>548</v>
      </c>
      <c r="B290" s="2" t="s">
        <v>140</v>
      </c>
      <c r="C290" s="2" t="str">
        <f t="shared" si="35"/>
        <v>2026-07-19</v>
      </c>
      <c r="D290" s="5">
        <f t="shared" si="36"/>
        <v>46222</v>
      </c>
      <c r="E290" s="2" t="s">
        <v>148</v>
      </c>
      <c r="F290" s="2" t="str">
        <f t="shared" si="37"/>
        <v>Cikarang</v>
      </c>
      <c r="G290" s="2" t="s">
        <v>80</v>
      </c>
      <c r="H290" s="2" t="str">
        <f t="shared" si="38"/>
        <v>Kiki Amelia</v>
      </c>
      <c r="I290" s="2" t="s">
        <v>549</v>
      </c>
      <c r="J290" s="2" t="str">
        <f t="shared" si="39"/>
        <v>Made Kusuma</v>
      </c>
      <c r="K290" s="2" t="s">
        <v>19</v>
      </c>
      <c r="L290" s="2" t="s">
        <v>20</v>
      </c>
      <c r="M290" s="2">
        <v>1</v>
      </c>
      <c r="N290" s="3">
        <v>33500000</v>
      </c>
      <c r="O290" s="3">
        <v>670000</v>
      </c>
      <c r="P290" s="3">
        <v>32830000</v>
      </c>
      <c r="Q290" s="3" t="str">
        <f t="shared" si="34"/>
        <v>Normal</v>
      </c>
      <c r="R290" s="2" t="s">
        <v>21</v>
      </c>
      <c r="S290" s="2" t="s">
        <v>22</v>
      </c>
      <c r="T290" s="2" t="s">
        <v>30</v>
      </c>
      <c r="U290">
        <f t="shared" si="33"/>
        <v>1</v>
      </c>
    </row>
    <row r="291" spans="1:21">
      <c r="A291" s="2" t="s">
        <v>550</v>
      </c>
      <c r="B291" s="2" t="s">
        <v>32</v>
      </c>
      <c r="C291" s="2" t="str">
        <f t="shared" si="35"/>
        <v>15/07/2026</v>
      </c>
      <c r="D291" s="5">
        <f t="shared" si="36"/>
        <v>46218</v>
      </c>
      <c r="E291" s="2" t="s">
        <v>89</v>
      </c>
      <c r="F291" s="2" t="str">
        <f t="shared" si="37"/>
        <v>Bekasi</v>
      </c>
      <c r="G291" s="2" t="s">
        <v>49</v>
      </c>
      <c r="H291" s="2" t="str">
        <f t="shared" si="38"/>
        <v>Fajar Nugraha</v>
      </c>
      <c r="I291" s="2" t="s">
        <v>551</v>
      </c>
      <c r="J291" s="2" t="str">
        <f t="shared" si="39"/>
        <v>Jihan Wijaya</v>
      </c>
      <c r="K291" s="2" t="s">
        <v>99</v>
      </c>
      <c r="L291" s="2" t="s">
        <v>100</v>
      </c>
      <c r="M291" s="2">
        <v>1</v>
      </c>
      <c r="N291" s="3">
        <v>29800000</v>
      </c>
      <c r="O291" s="3">
        <v>0</v>
      </c>
      <c r="P291" s="3">
        <v>29800000</v>
      </c>
      <c r="Q291" s="3" t="str">
        <f t="shared" si="34"/>
        <v>Normal</v>
      </c>
      <c r="R291" s="2" t="s">
        <v>29</v>
      </c>
      <c r="S291" s="2" t="s">
        <v>22</v>
      </c>
      <c r="T291" s="2" t="s">
        <v>30</v>
      </c>
      <c r="U291">
        <f t="shared" si="33"/>
        <v>1</v>
      </c>
    </row>
    <row r="292" spans="1:21">
      <c r="A292" s="2" t="s">
        <v>552</v>
      </c>
      <c r="B292" s="2" t="s">
        <v>25</v>
      </c>
      <c r="C292" s="2" t="str">
        <f t="shared" si="35"/>
        <v>2026-07-16</v>
      </c>
      <c r="D292" s="5">
        <f t="shared" si="36"/>
        <v>46219</v>
      </c>
      <c r="E292" s="2" t="s">
        <v>65</v>
      </c>
      <c r="F292" s="2" t="str">
        <f t="shared" si="37"/>
        <v>Bandung</v>
      </c>
      <c r="G292" s="2" t="s">
        <v>126</v>
      </c>
      <c r="H292" s="2" t="str">
        <f t="shared" si="38"/>
        <v>Oki Setiawan</v>
      </c>
      <c r="I292" s="2" t="s">
        <v>314</v>
      </c>
      <c r="J292" s="2" t="str">
        <f t="shared" si="39"/>
        <v>Citra Firmansyah</v>
      </c>
      <c r="K292" s="2" t="s">
        <v>44</v>
      </c>
      <c r="L292" s="2" t="s">
        <v>45</v>
      </c>
      <c r="M292" s="2">
        <v>1</v>
      </c>
      <c r="N292" s="3">
        <v>24600000</v>
      </c>
      <c r="O292" s="3">
        <v>738000</v>
      </c>
      <c r="P292" s="3">
        <v>23862000</v>
      </c>
      <c r="Q292" s="3" t="str">
        <f t="shared" si="34"/>
        <v>Normal</v>
      </c>
      <c r="R292" s="2" t="s">
        <v>21</v>
      </c>
      <c r="S292" s="2" t="s">
        <v>82</v>
      </c>
      <c r="T292" s="2" t="s">
        <v>77</v>
      </c>
      <c r="U292">
        <f t="shared" si="33"/>
        <v>1</v>
      </c>
    </row>
    <row r="293" spans="1:21">
      <c r="A293" s="2" t="s">
        <v>553</v>
      </c>
      <c r="B293" s="2" t="s">
        <v>102</v>
      </c>
      <c r="C293" s="2" t="str">
        <f t="shared" si="35"/>
        <v>18/07/2026</v>
      </c>
      <c r="D293" s="5">
        <f t="shared" si="36"/>
        <v>46221</v>
      </c>
      <c r="E293" s="2" t="s">
        <v>85</v>
      </c>
      <c r="F293" s="2" t="str">
        <f t="shared" si="37"/>
        <v>Karawang</v>
      </c>
      <c r="G293" s="2"/>
      <c r="H293" s="2" t="str">
        <f t="shared" si="38"/>
        <v>Unknown</v>
      </c>
      <c r="I293" s="2" t="s">
        <v>234</v>
      </c>
      <c r="J293" s="2" t="str">
        <f t="shared" si="39"/>
        <v>Budi Firmansyah</v>
      </c>
      <c r="K293" s="2" t="s">
        <v>152</v>
      </c>
      <c r="L293" s="2" t="s">
        <v>153</v>
      </c>
      <c r="M293" s="2">
        <v>1</v>
      </c>
      <c r="N293" s="3">
        <v>27400000</v>
      </c>
      <c r="O293" s="3">
        <v>822000</v>
      </c>
      <c r="P293" s="3">
        <v>26578000</v>
      </c>
      <c r="Q293" s="3" t="str">
        <f t="shared" si="34"/>
        <v>Normal</v>
      </c>
      <c r="R293" s="2" t="s">
        <v>29</v>
      </c>
      <c r="S293" s="2" t="s">
        <v>22</v>
      </c>
      <c r="T293" s="2" t="s">
        <v>30</v>
      </c>
      <c r="U293">
        <f t="shared" si="33"/>
        <v>1</v>
      </c>
    </row>
    <row r="294" spans="1:21">
      <c r="A294" s="2" t="s">
        <v>554</v>
      </c>
      <c r="B294" s="2" t="s">
        <v>57</v>
      </c>
      <c r="C294" s="2" t="str">
        <f t="shared" si="35"/>
        <v>2026-07-17</v>
      </c>
      <c r="D294" s="5">
        <f t="shared" si="36"/>
        <v>46220</v>
      </c>
      <c r="E294" s="2" t="s">
        <v>285</v>
      </c>
      <c r="F294" s="2" t="str">
        <f t="shared" si="37"/>
        <v>Jakarta Selatan</v>
      </c>
      <c r="G294" s="2" t="s">
        <v>27</v>
      </c>
      <c r="H294" s="2" t="str">
        <f t="shared" si="38"/>
        <v>Vino Bastian G.</v>
      </c>
      <c r="I294" s="2" t="s">
        <v>450</v>
      </c>
      <c r="J294" s="2" t="str">
        <f t="shared" si="39"/>
        <v>Jihan Anggraini</v>
      </c>
      <c r="K294" s="2" t="s">
        <v>99</v>
      </c>
      <c r="L294" s="2" t="s">
        <v>100</v>
      </c>
      <c r="M294" s="2">
        <v>1</v>
      </c>
      <c r="N294" s="3">
        <v>29800000</v>
      </c>
      <c r="O294" s="3">
        <v>0</v>
      </c>
      <c r="P294" s="3">
        <v>29800000</v>
      </c>
      <c r="Q294" s="3" t="str">
        <f t="shared" si="34"/>
        <v>Normal</v>
      </c>
      <c r="R294" s="2" t="s">
        <v>46</v>
      </c>
      <c r="S294" s="2" t="s">
        <v>22</v>
      </c>
      <c r="T294" s="2" t="s">
        <v>23</v>
      </c>
      <c r="U294">
        <f t="shared" si="33"/>
        <v>1</v>
      </c>
    </row>
    <row r="295" spans="1:21">
      <c r="A295" s="2" t="s">
        <v>555</v>
      </c>
      <c r="B295" s="2" t="s">
        <v>64</v>
      </c>
      <c r="C295" s="2" t="str">
        <f t="shared" si="35"/>
        <v>2026-07-13</v>
      </c>
      <c r="D295" s="5">
        <f t="shared" si="36"/>
        <v>46216</v>
      </c>
      <c r="E295" s="2" t="s">
        <v>85</v>
      </c>
      <c r="F295" s="2" t="str">
        <f t="shared" si="37"/>
        <v>Karawang</v>
      </c>
      <c r="G295" s="2" t="s">
        <v>130</v>
      </c>
      <c r="H295" s="2" t="str">
        <f t="shared" si="38"/>
        <v>Indah Permata</v>
      </c>
      <c r="I295" s="2" t="s">
        <v>163</v>
      </c>
      <c r="J295" s="2" t="str">
        <f t="shared" si="39"/>
        <v>Dewi Ramadhan</v>
      </c>
      <c r="K295" s="2" t="s">
        <v>19</v>
      </c>
      <c r="L295" s="2" t="s">
        <v>20</v>
      </c>
      <c r="M295" s="2">
        <v>1</v>
      </c>
      <c r="N295" s="3">
        <v>33500000</v>
      </c>
      <c r="O295" s="3">
        <v>670000</v>
      </c>
      <c r="P295" s="3">
        <v>32830000</v>
      </c>
      <c r="Q295" s="3" t="str">
        <f t="shared" si="34"/>
        <v>Normal</v>
      </c>
      <c r="R295" s="2" t="s">
        <v>46</v>
      </c>
      <c r="S295" s="2" t="s">
        <v>82</v>
      </c>
      <c r="T295" s="2" t="s">
        <v>23</v>
      </c>
      <c r="U295">
        <f t="shared" si="33"/>
        <v>1</v>
      </c>
    </row>
    <row r="296" spans="1:21">
      <c r="A296" s="2" t="s">
        <v>556</v>
      </c>
      <c r="B296" s="2" t="s">
        <v>25</v>
      </c>
      <c r="C296" s="2" t="str">
        <f t="shared" si="35"/>
        <v>2026-07-16</v>
      </c>
      <c r="D296" s="5">
        <f t="shared" si="36"/>
        <v>46219</v>
      </c>
      <c r="E296" s="2" t="s">
        <v>26</v>
      </c>
      <c r="F296" s="2" t="str">
        <f t="shared" si="37"/>
        <v>Sukabumi</v>
      </c>
      <c r="G296" s="2" t="s">
        <v>58</v>
      </c>
      <c r="H296" s="2" t="str">
        <f t="shared" si="38"/>
        <v>Umi Kalsum</v>
      </c>
      <c r="I296" s="2" t="s">
        <v>219</v>
      </c>
      <c r="J296" s="2" t="str">
        <f t="shared" si="39"/>
        <v>Tono Ramadhan</v>
      </c>
      <c r="K296" s="2" t="s">
        <v>152</v>
      </c>
      <c r="L296" s="2" t="s">
        <v>153</v>
      </c>
      <c r="M296" s="2">
        <v>2</v>
      </c>
      <c r="N296" s="3">
        <v>27400000</v>
      </c>
      <c r="O296" s="3">
        <v>0</v>
      </c>
      <c r="P296" s="3">
        <v>54800000</v>
      </c>
      <c r="Q296" s="3" t="str">
        <f t="shared" si="34"/>
        <v>Normal</v>
      </c>
      <c r="R296" s="2" t="s">
        <v>46</v>
      </c>
      <c r="S296" s="2" t="s">
        <v>22</v>
      </c>
      <c r="T296" s="2" t="s">
        <v>77</v>
      </c>
      <c r="U296">
        <f t="shared" si="33"/>
        <v>1</v>
      </c>
    </row>
    <row r="297" spans="1:21">
      <c r="A297" s="2" t="s">
        <v>557</v>
      </c>
      <c r="B297" s="2" t="s">
        <v>15</v>
      </c>
      <c r="C297" s="2" t="str">
        <f t="shared" si="35"/>
        <v>2026-07-14</v>
      </c>
      <c r="D297" s="5">
        <f t="shared" si="36"/>
        <v>46217</v>
      </c>
      <c r="E297" s="2" t="s">
        <v>97</v>
      </c>
      <c r="F297" s="2" t="str">
        <f t="shared" si="37"/>
        <v>Serang</v>
      </c>
      <c r="G297" s="2" t="s">
        <v>17</v>
      </c>
      <c r="H297" s="2" t="str">
        <f t="shared" si="38"/>
        <v>Taufik Hidayat</v>
      </c>
      <c r="I297" s="2" t="s">
        <v>127</v>
      </c>
      <c r="J297" s="2" t="str">
        <f t="shared" si="39"/>
        <v>Made Anggraini</v>
      </c>
      <c r="K297" s="2" t="s">
        <v>44</v>
      </c>
      <c r="L297" s="2" t="s">
        <v>45</v>
      </c>
      <c r="M297" s="2">
        <v>1</v>
      </c>
      <c r="N297" s="3">
        <v>24600000</v>
      </c>
      <c r="O297" s="3">
        <v>492000</v>
      </c>
      <c r="P297" s="3">
        <v>24108000</v>
      </c>
      <c r="Q297" s="3" t="str">
        <f t="shared" si="34"/>
        <v>Normal</v>
      </c>
      <c r="R297" s="2" t="s">
        <v>29</v>
      </c>
      <c r="S297" s="2" t="s">
        <v>82</v>
      </c>
      <c r="T297" s="2" t="s">
        <v>23</v>
      </c>
      <c r="U297">
        <f t="shared" si="33"/>
        <v>1</v>
      </c>
    </row>
    <row r="298" spans="1:21">
      <c r="A298" s="2" t="s">
        <v>558</v>
      </c>
      <c r="B298" s="2" t="s">
        <v>64</v>
      </c>
      <c r="C298" s="2" t="str">
        <f t="shared" si="35"/>
        <v>2026-07-13</v>
      </c>
      <c r="D298" s="5">
        <f t="shared" si="36"/>
        <v>46216</v>
      </c>
      <c r="E298" s="2" t="s">
        <v>112</v>
      </c>
      <c r="F298" s="2" t="str">
        <f t="shared" si="37"/>
        <v>Jakarta Timur</v>
      </c>
      <c r="G298" s="2" t="s">
        <v>130</v>
      </c>
      <c r="H298" s="2" t="str">
        <f t="shared" si="38"/>
        <v>Indah Permata</v>
      </c>
      <c r="I298" s="2" t="s">
        <v>428</v>
      </c>
      <c r="J298" s="2" t="str">
        <f t="shared" si="39"/>
        <v>Putra Anggraini</v>
      </c>
      <c r="K298" s="2" t="s">
        <v>60</v>
      </c>
      <c r="L298" s="2" t="s">
        <v>61</v>
      </c>
      <c r="M298" s="2">
        <v>1</v>
      </c>
      <c r="N298" s="3">
        <v>21500000</v>
      </c>
      <c r="O298" s="3">
        <v>0</v>
      </c>
      <c r="P298" s="3">
        <v>21500000</v>
      </c>
      <c r="Q298" s="3" t="str">
        <f t="shared" si="34"/>
        <v>Normal</v>
      </c>
      <c r="R298" s="2" t="s">
        <v>21</v>
      </c>
      <c r="S298" s="2" t="s">
        <v>22</v>
      </c>
      <c r="T298" s="2" t="s">
        <v>39</v>
      </c>
      <c r="U298">
        <f t="shared" si="33"/>
        <v>1</v>
      </c>
    </row>
    <row r="299" spans="1:21">
      <c r="A299" s="2" t="s">
        <v>559</v>
      </c>
      <c r="B299" s="2" t="s">
        <v>108</v>
      </c>
      <c r="C299" s="2" t="str">
        <f t="shared" si="35"/>
        <v>2026-07-18</v>
      </c>
      <c r="D299" s="5">
        <f t="shared" si="36"/>
        <v>46221</v>
      </c>
      <c r="E299" s="2" t="s">
        <v>26</v>
      </c>
      <c r="F299" s="2" t="str">
        <f t="shared" si="37"/>
        <v>Sukabumi</v>
      </c>
      <c r="G299" s="2" t="s">
        <v>42</v>
      </c>
      <c r="H299" s="2" t="str">
        <f t="shared" si="38"/>
        <v>Lina Marlina</v>
      </c>
      <c r="I299" s="2" t="s">
        <v>109</v>
      </c>
      <c r="J299" s="2" t="str">
        <f t="shared" si="39"/>
        <v>Irfan Firmansyah</v>
      </c>
      <c r="K299" s="2" t="s">
        <v>19</v>
      </c>
      <c r="L299" s="2" t="s">
        <v>20</v>
      </c>
      <c r="M299" s="2">
        <v>1</v>
      </c>
      <c r="N299" s="3">
        <v>33500000</v>
      </c>
      <c r="O299" s="3">
        <v>0</v>
      </c>
      <c r="P299" s="3">
        <v>33500000</v>
      </c>
      <c r="Q299" s="3" t="str">
        <f t="shared" si="34"/>
        <v>Normal</v>
      </c>
      <c r="R299" s="2" t="s">
        <v>21</v>
      </c>
      <c r="S299" s="2" t="s">
        <v>22</v>
      </c>
      <c r="T299" s="2" t="s">
        <v>23</v>
      </c>
      <c r="U299">
        <f t="shared" si="33"/>
        <v>1</v>
      </c>
    </row>
    <row r="300" spans="1:21">
      <c r="A300" s="2" t="s">
        <v>560</v>
      </c>
      <c r="B300" s="2" t="s">
        <v>84</v>
      </c>
      <c r="C300" s="2" t="str">
        <f t="shared" si="35"/>
        <v>2026-07-15</v>
      </c>
      <c r="D300" s="5">
        <f t="shared" si="36"/>
        <v>46218</v>
      </c>
      <c r="E300" s="2" t="s">
        <v>33</v>
      </c>
      <c r="F300" s="2" t="str">
        <f t="shared" si="37"/>
        <v>Depok</v>
      </c>
      <c r="G300" s="2" t="s">
        <v>168</v>
      </c>
      <c r="H300" s="2" t="str">
        <f t="shared" si="38"/>
        <v>Mira Anjani</v>
      </c>
      <c r="I300" s="2" t="s">
        <v>221</v>
      </c>
      <c r="J300" s="2" t="str">
        <f t="shared" si="39"/>
        <v>Kevin Wijaya</v>
      </c>
      <c r="K300" s="2" t="s">
        <v>152</v>
      </c>
      <c r="L300" s="2" t="s">
        <v>153</v>
      </c>
      <c r="M300" s="2">
        <v>1</v>
      </c>
      <c r="N300" s="3">
        <v>27400000</v>
      </c>
      <c r="O300" s="3">
        <v>548000</v>
      </c>
      <c r="P300" s="3">
        <v>26852000</v>
      </c>
      <c r="Q300" s="3" t="str">
        <f t="shared" si="34"/>
        <v>Normal</v>
      </c>
      <c r="R300" s="2" t="s">
        <v>46</v>
      </c>
      <c r="S300" s="2" t="s">
        <v>22</v>
      </c>
      <c r="T300" s="2" t="s">
        <v>77</v>
      </c>
      <c r="U300">
        <f t="shared" si="33"/>
        <v>1</v>
      </c>
    </row>
    <row r="301" spans="1:21">
      <c r="A301" s="2" t="s">
        <v>561</v>
      </c>
      <c r="B301" s="2" t="s">
        <v>105</v>
      </c>
      <c r="C301" s="2" t="str">
        <f t="shared" si="35"/>
        <v>13/07/2026</v>
      </c>
      <c r="D301" s="5">
        <f t="shared" si="36"/>
        <v>46216</v>
      </c>
      <c r="E301" s="2" t="s">
        <v>16</v>
      </c>
      <c r="F301" s="2" t="str">
        <f t="shared" si="37"/>
        <v>Cibubur</v>
      </c>
      <c r="G301" s="2" t="s">
        <v>34</v>
      </c>
      <c r="H301" s="2" t="str">
        <f t="shared" si="38"/>
        <v>Joko Widodo S.</v>
      </c>
      <c r="I301" s="2" t="s">
        <v>562</v>
      </c>
      <c r="J301" s="2" t="str">
        <f t="shared" si="39"/>
        <v>Irfan Hidayat</v>
      </c>
      <c r="K301" s="2" t="s">
        <v>99</v>
      </c>
      <c r="L301" s="2" t="s">
        <v>100</v>
      </c>
      <c r="M301" s="2">
        <v>1</v>
      </c>
      <c r="N301" s="3">
        <v>29800000</v>
      </c>
      <c r="O301" s="3">
        <v>0</v>
      </c>
      <c r="P301" s="3">
        <v>29800000</v>
      </c>
      <c r="Q301" s="3" t="str">
        <f t="shared" si="34"/>
        <v>Normal</v>
      </c>
      <c r="R301" s="2" t="s">
        <v>62</v>
      </c>
      <c r="S301" s="2" t="s">
        <v>22</v>
      </c>
      <c r="T301" s="2" t="s">
        <v>77</v>
      </c>
      <c r="U301">
        <f t="shared" si="33"/>
        <v>1</v>
      </c>
    </row>
    <row r="302" spans="1:21">
      <c r="A302" s="2" t="s">
        <v>563</v>
      </c>
      <c r="B302" s="2" t="s">
        <v>15</v>
      </c>
      <c r="C302" s="2" t="str">
        <f t="shared" si="35"/>
        <v>2026-07-14</v>
      </c>
      <c r="D302" s="5">
        <f t="shared" si="36"/>
        <v>46217</v>
      </c>
      <c r="E302" s="2" t="s">
        <v>85</v>
      </c>
      <c r="F302" s="2" t="str">
        <f t="shared" si="37"/>
        <v>Karawang</v>
      </c>
      <c r="G302" s="2" t="s">
        <v>145</v>
      </c>
      <c r="H302" s="2" t="str">
        <f t="shared" si="38"/>
        <v>Doni Saputra</v>
      </c>
      <c r="I302" s="2" t="s">
        <v>278</v>
      </c>
      <c r="J302" s="2" t="str">
        <f t="shared" si="39"/>
        <v>Oscar Lestari</v>
      </c>
      <c r="K302" s="2" t="s">
        <v>91</v>
      </c>
      <c r="L302" s="2" t="s">
        <v>92</v>
      </c>
      <c r="M302" s="2">
        <v>1</v>
      </c>
      <c r="N302" s="3">
        <v>26900000</v>
      </c>
      <c r="O302" s="3">
        <v>807000</v>
      </c>
      <c r="P302" s="3">
        <v>26093000</v>
      </c>
      <c r="Q302" s="3" t="str">
        <f t="shared" si="34"/>
        <v>Normal</v>
      </c>
      <c r="R302" s="2" t="s">
        <v>38</v>
      </c>
      <c r="S302" s="2" t="s">
        <v>22</v>
      </c>
      <c r="T302" s="2" t="s">
        <v>39</v>
      </c>
      <c r="U302">
        <f t="shared" si="33"/>
        <v>1</v>
      </c>
    </row>
    <row r="303" spans="1:21">
      <c r="A303" s="2" t="s">
        <v>564</v>
      </c>
      <c r="B303" s="2" t="s">
        <v>111</v>
      </c>
      <c r="C303" s="2" t="str">
        <f t="shared" si="35"/>
        <v>14/07/2026</v>
      </c>
      <c r="D303" s="5">
        <f t="shared" si="36"/>
        <v>46217</v>
      </c>
      <c r="E303" s="2" t="s">
        <v>33</v>
      </c>
      <c r="F303" s="2" t="str">
        <f t="shared" si="37"/>
        <v>Depok</v>
      </c>
      <c r="G303" s="2" t="s">
        <v>242</v>
      </c>
      <c r="H303" s="2" t="str">
        <f t="shared" si="38"/>
        <v>Rudi Hartono</v>
      </c>
      <c r="I303" s="2" t="s">
        <v>133</v>
      </c>
      <c r="J303" s="2" t="str">
        <f t="shared" si="39"/>
        <v>Putra Wijaya</v>
      </c>
      <c r="K303" s="2" t="s">
        <v>152</v>
      </c>
      <c r="L303" s="2" t="s">
        <v>153</v>
      </c>
      <c r="M303" s="2">
        <v>1</v>
      </c>
      <c r="N303" s="3">
        <v>27400000</v>
      </c>
      <c r="O303" s="3">
        <v>822000</v>
      </c>
      <c r="P303" s="3">
        <v>26578000</v>
      </c>
      <c r="Q303" s="3" t="str">
        <f t="shared" si="34"/>
        <v>Normal</v>
      </c>
      <c r="R303" s="2" t="s">
        <v>46</v>
      </c>
      <c r="S303" s="2" t="s">
        <v>22</v>
      </c>
      <c r="T303" s="2" t="s">
        <v>23</v>
      </c>
      <c r="U303">
        <f t="shared" si="33"/>
        <v>1</v>
      </c>
    </row>
    <row r="304" spans="1:21">
      <c r="A304" s="2" t="s">
        <v>565</v>
      </c>
      <c r="B304" s="2" t="s">
        <v>108</v>
      </c>
      <c r="C304" s="2" t="str">
        <f t="shared" si="35"/>
        <v>2026-07-18</v>
      </c>
      <c r="D304" s="5">
        <f t="shared" si="36"/>
        <v>46221</v>
      </c>
      <c r="E304" s="2" t="s">
        <v>85</v>
      </c>
      <c r="F304" s="2" t="str">
        <f t="shared" si="37"/>
        <v>Karawang</v>
      </c>
      <c r="G304" s="2" t="s">
        <v>80</v>
      </c>
      <c r="H304" s="2" t="str">
        <f t="shared" si="38"/>
        <v>Kiki Amelia</v>
      </c>
      <c r="I304" s="2" t="s">
        <v>566</v>
      </c>
      <c r="J304" s="2" t="str">
        <f t="shared" si="39"/>
        <v>Lala Wijaya</v>
      </c>
      <c r="K304" s="2" t="s">
        <v>19</v>
      </c>
      <c r="L304" s="2" t="s">
        <v>20</v>
      </c>
      <c r="M304" s="2">
        <v>1</v>
      </c>
      <c r="N304" s="3">
        <v>33500000</v>
      </c>
      <c r="O304" s="3">
        <v>0</v>
      </c>
      <c r="P304" s="3">
        <v>33500000</v>
      </c>
      <c r="Q304" s="3" t="str">
        <f t="shared" si="34"/>
        <v>Normal</v>
      </c>
      <c r="R304" s="2" t="s">
        <v>21</v>
      </c>
      <c r="S304" s="2" t="s">
        <v>22</v>
      </c>
      <c r="T304" s="2" t="s">
        <v>77</v>
      </c>
      <c r="U304">
        <f t="shared" si="33"/>
        <v>1</v>
      </c>
    </row>
    <row r="305" spans="1:21">
      <c r="A305" s="2" t="s">
        <v>567</v>
      </c>
      <c r="B305" s="2" t="s">
        <v>64</v>
      </c>
      <c r="C305" s="2" t="str">
        <f t="shared" si="35"/>
        <v>2026-07-13</v>
      </c>
      <c r="D305" s="5">
        <f t="shared" si="36"/>
        <v>46216</v>
      </c>
      <c r="E305" s="2" t="s">
        <v>89</v>
      </c>
      <c r="F305" s="2" t="str">
        <f t="shared" si="37"/>
        <v>Bekasi</v>
      </c>
      <c r="G305" s="2" t="s">
        <v>80</v>
      </c>
      <c r="H305" s="2" t="str">
        <f t="shared" si="38"/>
        <v>Kiki Amelia</v>
      </c>
      <c r="I305" s="2" t="s">
        <v>568</v>
      </c>
      <c r="J305" s="2" t="str">
        <f t="shared" si="39"/>
        <v>Hana Wijaya</v>
      </c>
      <c r="K305" s="2" t="s">
        <v>19</v>
      </c>
      <c r="L305" s="2" t="s">
        <v>20</v>
      </c>
      <c r="M305" s="2">
        <v>1</v>
      </c>
      <c r="N305" s="3">
        <v>33500000</v>
      </c>
      <c r="O305" s="3">
        <v>1675000</v>
      </c>
      <c r="P305" s="3">
        <v>31825000</v>
      </c>
      <c r="Q305" s="3" t="str">
        <f t="shared" si="34"/>
        <v>Normal</v>
      </c>
      <c r="R305" s="2" t="s">
        <v>46</v>
      </c>
      <c r="S305" s="2" t="s">
        <v>22</v>
      </c>
      <c r="T305" s="2" t="s">
        <v>39</v>
      </c>
      <c r="U305">
        <f t="shared" si="33"/>
        <v>1</v>
      </c>
    </row>
    <row r="306" spans="1:21">
      <c r="A306" s="2" t="s">
        <v>569</v>
      </c>
      <c r="B306" s="2" t="s">
        <v>189</v>
      </c>
      <c r="C306" s="2" t="str">
        <f t="shared" si="35"/>
        <v>14/07/2026</v>
      </c>
      <c r="D306" s="5">
        <f t="shared" si="36"/>
        <v>46217</v>
      </c>
      <c r="E306" s="2" t="s">
        <v>65</v>
      </c>
      <c r="F306" s="2" t="str">
        <f t="shared" si="37"/>
        <v>Bandung</v>
      </c>
      <c r="G306" s="2" t="s">
        <v>75</v>
      </c>
      <c r="H306" s="2" t="str">
        <f t="shared" si="38"/>
        <v>Eka Putri</v>
      </c>
      <c r="I306" s="2" t="s">
        <v>381</v>
      </c>
      <c r="J306" s="2" t="str">
        <f t="shared" si="39"/>
        <v>Jihan Pratama</v>
      </c>
      <c r="K306" s="2" t="s">
        <v>99</v>
      </c>
      <c r="L306" s="2" t="s">
        <v>100</v>
      </c>
      <c r="M306" s="2">
        <v>1</v>
      </c>
      <c r="N306" s="3">
        <v>29800000</v>
      </c>
      <c r="O306" s="3">
        <v>894000</v>
      </c>
      <c r="P306" s="3">
        <v>28906000</v>
      </c>
      <c r="Q306" s="3" t="str">
        <f t="shared" si="34"/>
        <v>Normal</v>
      </c>
      <c r="R306" s="2" t="s">
        <v>46</v>
      </c>
      <c r="S306" s="2" t="s">
        <v>22</v>
      </c>
      <c r="T306" s="2" t="s">
        <v>39</v>
      </c>
      <c r="U306">
        <f t="shared" si="33"/>
        <v>1</v>
      </c>
    </row>
    <row r="307" spans="1:21">
      <c r="A307" s="2" t="s">
        <v>570</v>
      </c>
      <c r="B307" s="2" t="s">
        <v>64</v>
      </c>
      <c r="C307" s="2" t="str">
        <f t="shared" si="35"/>
        <v>2026-07-13</v>
      </c>
      <c r="D307" s="5">
        <f t="shared" si="36"/>
        <v>46216</v>
      </c>
      <c r="E307" s="2" t="s">
        <v>26</v>
      </c>
      <c r="F307" s="2" t="str">
        <f t="shared" si="37"/>
        <v>Sukabumi</v>
      </c>
      <c r="G307" s="2" t="s">
        <v>126</v>
      </c>
      <c r="H307" s="2" t="str">
        <f t="shared" si="38"/>
        <v>Oki Setiawan</v>
      </c>
      <c r="I307" s="2" t="s">
        <v>286</v>
      </c>
      <c r="J307" s="2" t="str">
        <f t="shared" si="39"/>
        <v>Tono Hidayat</v>
      </c>
      <c r="K307" s="2" t="s">
        <v>152</v>
      </c>
      <c r="L307" s="2" t="s">
        <v>153</v>
      </c>
      <c r="M307" s="2">
        <v>1</v>
      </c>
      <c r="N307" s="3">
        <v>27400000</v>
      </c>
      <c r="O307" s="3">
        <v>274000</v>
      </c>
      <c r="P307" s="3">
        <v>27126000</v>
      </c>
      <c r="Q307" s="3" t="str">
        <f t="shared" si="34"/>
        <v>Normal</v>
      </c>
      <c r="R307" s="2" t="s">
        <v>29</v>
      </c>
      <c r="S307" s="2" t="s">
        <v>22</v>
      </c>
      <c r="T307" s="2" t="s">
        <v>23</v>
      </c>
      <c r="U307">
        <f t="shared" si="33"/>
        <v>1</v>
      </c>
    </row>
    <row r="308" spans="1:21">
      <c r="A308" s="2" t="s">
        <v>571</v>
      </c>
      <c r="B308" s="2" t="s">
        <v>84</v>
      </c>
      <c r="C308" s="2" t="str">
        <f t="shared" si="35"/>
        <v>2026-07-15</v>
      </c>
      <c r="D308" s="5">
        <f t="shared" si="36"/>
        <v>46218</v>
      </c>
      <c r="E308" s="2" t="s">
        <v>97</v>
      </c>
      <c r="F308" s="2" t="str">
        <f t="shared" si="37"/>
        <v>Serang</v>
      </c>
      <c r="G308" s="2" t="s">
        <v>242</v>
      </c>
      <c r="H308" s="2" t="str">
        <f t="shared" si="38"/>
        <v>Rudi Hartono</v>
      </c>
      <c r="I308" s="2" t="s">
        <v>301</v>
      </c>
      <c r="J308" s="2" t="str">
        <f t="shared" si="39"/>
        <v>Putra Firmansyah</v>
      </c>
      <c r="K308" s="2" t="s">
        <v>152</v>
      </c>
      <c r="L308" s="2" t="s">
        <v>153</v>
      </c>
      <c r="M308" s="2">
        <v>1</v>
      </c>
      <c r="N308" s="3">
        <v>27400000</v>
      </c>
      <c r="O308" s="3">
        <v>0</v>
      </c>
      <c r="P308" s="3">
        <v>27400000</v>
      </c>
      <c r="Q308" s="3" t="str">
        <f t="shared" si="34"/>
        <v>Normal</v>
      </c>
      <c r="R308" s="2" t="s">
        <v>62</v>
      </c>
      <c r="S308" s="2" t="s">
        <v>22</v>
      </c>
      <c r="T308" s="2" t="s">
        <v>23</v>
      </c>
      <c r="U308">
        <f t="shared" si="33"/>
        <v>1</v>
      </c>
    </row>
    <row r="309" spans="1:21">
      <c r="A309" s="2" t="s">
        <v>572</v>
      </c>
      <c r="B309" s="2" t="s">
        <v>41</v>
      </c>
      <c r="C309" s="2" t="str">
        <f t="shared" si="35"/>
        <v>15/07/2026</v>
      </c>
      <c r="D309" s="5">
        <f t="shared" si="36"/>
        <v>46218</v>
      </c>
      <c r="E309" s="2" t="s">
        <v>182</v>
      </c>
      <c r="F309" s="2" t="str">
        <f t="shared" si="37"/>
        <v>Bogor</v>
      </c>
      <c r="G309" s="2" t="s">
        <v>54</v>
      </c>
      <c r="H309" s="2" t="str">
        <f t="shared" si="38"/>
        <v>Hadi Santoso</v>
      </c>
      <c r="I309" s="2" t="s">
        <v>461</v>
      </c>
      <c r="J309" s="2" t="str">
        <f t="shared" si="39"/>
        <v>Galih Saputra</v>
      </c>
      <c r="K309" s="2" t="s">
        <v>44</v>
      </c>
      <c r="L309" s="2" t="s">
        <v>45</v>
      </c>
      <c r="M309" s="2">
        <v>1</v>
      </c>
      <c r="N309" s="3">
        <v>24600000</v>
      </c>
      <c r="O309" s="3">
        <v>492000</v>
      </c>
      <c r="P309" s="3">
        <v>24108000</v>
      </c>
      <c r="Q309" s="3" t="str">
        <f t="shared" si="34"/>
        <v>Normal</v>
      </c>
      <c r="R309" s="2" t="s">
        <v>29</v>
      </c>
      <c r="S309" s="2" t="s">
        <v>22</v>
      </c>
      <c r="T309" s="2" t="s">
        <v>23</v>
      </c>
      <c r="U309">
        <f t="shared" si="33"/>
        <v>1</v>
      </c>
    </row>
    <row r="310" spans="1:21">
      <c r="A310" s="2" t="s">
        <v>573</v>
      </c>
      <c r="B310" s="2" t="s">
        <v>140</v>
      </c>
      <c r="C310" s="2" t="str">
        <f t="shared" si="35"/>
        <v>2026-07-19</v>
      </c>
      <c r="D310" s="5">
        <f t="shared" si="36"/>
        <v>46222</v>
      </c>
      <c r="E310" s="2" t="s">
        <v>112</v>
      </c>
      <c r="F310" s="2" t="str">
        <f t="shared" si="37"/>
        <v>Jakarta Timur</v>
      </c>
      <c r="G310" s="2" t="s">
        <v>168</v>
      </c>
      <c r="H310" s="2" t="str">
        <f t="shared" si="38"/>
        <v>Mira Anjani</v>
      </c>
      <c r="I310" s="2" t="s">
        <v>468</v>
      </c>
      <c r="J310" s="2" t="str">
        <f t="shared" si="39"/>
        <v>Made Maharani</v>
      </c>
      <c r="K310" s="2" t="s">
        <v>36</v>
      </c>
      <c r="L310" s="2" t="s">
        <v>37</v>
      </c>
      <c r="M310" s="2">
        <v>1</v>
      </c>
      <c r="N310" s="3">
        <v>22300000</v>
      </c>
      <c r="O310" s="3">
        <v>223000</v>
      </c>
      <c r="P310" s="3">
        <v>22077000</v>
      </c>
      <c r="Q310" s="3" t="str">
        <f t="shared" si="34"/>
        <v>Normal</v>
      </c>
      <c r="R310" s="2" t="s">
        <v>29</v>
      </c>
      <c r="S310" s="2" t="s">
        <v>22</v>
      </c>
      <c r="T310" s="2" t="s">
        <v>39</v>
      </c>
      <c r="U310">
        <f t="shared" si="33"/>
        <v>1</v>
      </c>
    </row>
    <row r="311" spans="1:21">
      <c r="A311" s="2" t="s">
        <v>574</v>
      </c>
      <c r="B311" s="2" t="s">
        <v>122</v>
      </c>
      <c r="C311" s="2" t="str">
        <f t="shared" si="35"/>
        <v>17/07/2026</v>
      </c>
      <c r="D311" s="5">
        <f t="shared" si="36"/>
        <v>46220</v>
      </c>
      <c r="E311" s="2" t="s">
        <v>65</v>
      </c>
      <c r="F311" s="2" t="str">
        <f t="shared" si="37"/>
        <v>Bandung</v>
      </c>
      <c r="G311" s="2" t="s">
        <v>80</v>
      </c>
      <c r="H311" s="2" t="str">
        <f t="shared" si="38"/>
        <v>Kiki Amelia</v>
      </c>
      <c r="I311" s="2"/>
      <c r="J311" s="2" t="str">
        <f t="shared" si="39"/>
        <v>Unknown</v>
      </c>
      <c r="K311" s="2" t="s">
        <v>36</v>
      </c>
      <c r="L311" s="2" t="s">
        <v>37</v>
      </c>
      <c r="M311" s="2">
        <v>1</v>
      </c>
      <c r="N311" s="3">
        <v>22300000</v>
      </c>
      <c r="O311" s="3">
        <v>446000</v>
      </c>
      <c r="P311" s="3">
        <v>21854000</v>
      </c>
      <c r="Q311" s="3" t="str">
        <f t="shared" si="34"/>
        <v>Normal</v>
      </c>
      <c r="R311" s="2" t="s">
        <v>62</v>
      </c>
      <c r="S311" s="2" t="s">
        <v>22</v>
      </c>
      <c r="T311" s="2" t="s">
        <v>30</v>
      </c>
      <c r="U311">
        <f t="shared" si="33"/>
        <v>1</v>
      </c>
    </row>
    <row r="312" spans="1:21">
      <c r="A312" s="2" t="s">
        <v>575</v>
      </c>
      <c r="B312" s="2" t="s">
        <v>108</v>
      </c>
      <c r="C312" s="2" t="str">
        <f t="shared" si="35"/>
        <v>2026-07-18</v>
      </c>
      <c r="D312" s="5">
        <f t="shared" si="36"/>
        <v>46221</v>
      </c>
      <c r="E312" s="2" t="s">
        <v>97</v>
      </c>
      <c r="F312" s="2" t="str">
        <f t="shared" si="37"/>
        <v>Serang</v>
      </c>
      <c r="G312" s="2" t="s">
        <v>72</v>
      </c>
      <c r="H312" s="2" t="str">
        <f t="shared" si="38"/>
        <v>Sari Dewi</v>
      </c>
      <c r="I312" s="2" t="s">
        <v>576</v>
      </c>
      <c r="J312" s="2" t="str">
        <f t="shared" si="39"/>
        <v>Ahmad Pratama</v>
      </c>
      <c r="K312" s="2" t="s">
        <v>68</v>
      </c>
      <c r="L312" s="2" t="s">
        <v>69</v>
      </c>
      <c r="M312" s="2">
        <v>2</v>
      </c>
      <c r="N312" s="3">
        <v>17800000</v>
      </c>
      <c r="O312" s="3">
        <v>356000</v>
      </c>
      <c r="P312" s="3">
        <v>35244000</v>
      </c>
      <c r="Q312" s="3" t="str">
        <f t="shared" si="34"/>
        <v>Normal</v>
      </c>
      <c r="R312" s="2" t="s">
        <v>46</v>
      </c>
      <c r="S312" s="2" t="s">
        <v>82</v>
      </c>
      <c r="T312" s="2" t="s">
        <v>77</v>
      </c>
      <c r="U312">
        <f t="shared" si="33"/>
        <v>1</v>
      </c>
    </row>
    <row r="313" spans="1:21">
      <c r="A313" s="2" t="s">
        <v>577</v>
      </c>
      <c r="B313" s="2" t="s">
        <v>57</v>
      </c>
      <c r="C313" s="2" t="str">
        <f t="shared" si="35"/>
        <v>2026-07-17</v>
      </c>
      <c r="D313" s="5">
        <f t="shared" si="36"/>
        <v>46220</v>
      </c>
      <c r="E313" s="2" t="s">
        <v>33</v>
      </c>
      <c r="F313" s="2" t="str">
        <f t="shared" si="37"/>
        <v>Depok</v>
      </c>
      <c r="G313" s="2" t="s">
        <v>34</v>
      </c>
      <c r="H313" s="2" t="str">
        <f t="shared" si="38"/>
        <v>Joko Widodo S.</v>
      </c>
      <c r="I313" s="2" t="s">
        <v>314</v>
      </c>
      <c r="J313" s="2" t="str">
        <f t="shared" si="39"/>
        <v>Citra Firmansyah</v>
      </c>
      <c r="K313" s="2" t="s">
        <v>152</v>
      </c>
      <c r="L313" s="2" t="s">
        <v>153</v>
      </c>
      <c r="M313" s="2">
        <v>1</v>
      </c>
      <c r="N313" s="3">
        <v>27400000</v>
      </c>
      <c r="O313" s="3">
        <v>822000</v>
      </c>
      <c r="P313" s="3">
        <v>26578000</v>
      </c>
      <c r="Q313" s="3" t="str">
        <f t="shared" si="34"/>
        <v>Normal</v>
      </c>
      <c r="R313" s="2" t="s">
        <v>29</v>
      </c>
      <c r="S313" s="2" t="s">
        <v>87</v>
      </c>
      <c r="T313" s="2" t="s">
        <v>39</v>
      </c>
      <c r="U313">
        <f t="shared" si="33"/>
        <v>1</v>
      </c>
    </row>
    <row r="314" spans="1:21">
      <c r="A314" s="2" t="s">
        <v>578</v>
      </c>
      <c r="B314" s="2" t="s">
        <v>140</v>
      </c>
      <c r="C314" s="2" t="str">
        <f t="shared" si="35"/>
        <v>2026-07-19</v>
      </c>
      <c r="D314" s="5">
        <f t="shared" si="36"/>
        <v>46222</v>
      </c>
      <c r="E314" s="2" t="s">
        <v>182</v>
      </c>
      <c r="F314" s="2" t="str">
        <f t="shared" si="37"/>
        <v>Bogor</v>
      </c>
      <c r="G314" s="2" t="s">
        <v>72</v>
      </c>
      <c r="H314" s="2" t="str">
        <f t="shared" si="38"/>
        <v>Sari Dewi</v>
      </c>
      <c r="I314" s="2" t="s">
        <v>521</v>
      </c>
      <c r="J314" s="2" t="str">
        <f t="shared" si="39"/>
        <v>Qori Ramadhan</v>
      </c>
      <c r="K314" s="2" t="s">
        <v>99</v>
      </c>
      <c r="L314" s="2" t="s">
        <v>100</v>
      </c>
      <c r="M314" s="2">
        <v>1</v>
      </c>
      <c r="N314" s="3">
        <v>29800000</v>
      </c>
      <c r="O314" s="3">
        <v>0</v>
      </c>
      <c r="P314" s="3">
        <v>29800000</v>
      </c>
      <c r="Q314" s="3" t="str">
        <f t="shared" si="34"/>
        <v>Normal</v>
      </c>
      <c r="R314" s="2" t="s">
        <v>21</v>
      </c>
      <c r="S314" s="2" t="s">
        <v>22</v>
      </c>
      <c r="T314" s="2" t="s">
        <v>77</v>
      </c>
      <c r="U314">
        <f t="shared" si="33"/>
        <v>1</v>
      </c>
    </row>
    <row r="315" spans="1:21">
      <c r="A315" s="2" t="s">
        <v>579</v>
      </c>
      <c r="B315" s="2" t="s">
        <v>64</v>
      </c>
      <c r="C315" s="2" t="str">
        <f t="shared" si="35"/>
        <v>2026-07-13</v>
      </c>
      <c r="D315" s="5">
        <f t="shared" si="36"/>
        <v>46216</v>
      </c>
      <c r="E315" s="2" t="s">
        <v>425</v>
      </c>
      <c r="F315" s="2" t="str">
        <f t="shared" si="37"/>
        <v>Tangerang</v>
      </c>
      <c r="G315" s="2" t="s">
        <v>58</v>
      </c>
      <c r="H315" s="2" t="str">
        <f t="shared" si="38"/>
        <v>Umi Kalsum</v>
      </c>
      <c r="I315" s="2" t="s">
        <v>492</v>
      </c>
      <c r="J315" s="2" t="str">
        <f t="shared" si="39"/>
        <v>Ahmad Kusuma</v>
      </c>
      <c r="K315" s="2" t="s">
        <v>68</v>
      </c>
      <c r="L315" s="2" t="s">
        <v>69</v>
      </c>
      <c r="M315" s="2">
        <v>1</v>
      </c>
      <c r="N315" s="3">
        <v>17800000</v>
      </c>
      <c r="O315" s="3">
        <v>356000</v>
      </c>
      <c r="P315" s="3">
        <v>17444000</v>
      </c>
      <c r="Q315" s="3" t="str">
        <f t="shared" si="34"/>
        <v>Normal</v>
      </c>
      <c r="R315" s="2" t="s">
        <v>38</v>
      </c>
      <c r="S315" s="2" t="s">
        <v>22</v>
      </c>
      <c r="T315" s="2" t="s">
        <v>77</v>
      </c>
      <c r="U315">
        <f t="shared" si="33"/>
        <v>1</v>
      </c>
    </row>
    <row r="316" spans="1:21">
      <c r="A316" s="2" t="s">
        <v>580</v>
      </c>
      <c r="B316" s="2" t="s">
        <v>140</v>
      </c>
      <c r="C316" s="2" t="str">
        <f t="shared" si="35"/>
        <v>2026-07-19</v>
      </c>
      <c r="D316" s="5">
        <f t="shared" si="36"/>
        <v>46222</v>
      </c>
      <c r="E316" s="2" t="s">
        <v>182</v>
      </c>
      <c r="F316" s="2" t="str">
        <f t="shared" si="37"/>
        <v>Bogor</v>
      </c>
      <c r="G316" s="2" t="s">
        <v>58</v>
      </c>
      <c r="H316" s="2" t="str">
        <f t="shared" si="38"/>
        <v>Umi Kalsum</v>
      </c>
      <c r="I316" s="2" t="s">
        <v>507</v>
      </c>
      <c r="J316" s="2" t="str">
        <f t="shared" si="39"/>
        <v>Qori Saputra</v>
      </c>
      <c r="K316" s="2" t="s">
        <v>44</v>
      </c>
      <c r="L316" s="2" t="s">
        <v>45</v>
      </c>
      <c r="M316" s="2">
        <v>1</v>
      </c>
      <c r="N316" s="3">
        <v>24600000</v>
      </c>
      <c r="O316" s="3">
        <v>0</v>
      </c>
      <c r="P316" s="3">
        <v>24600000</v>
      </c>
      <c r="Q316" s="3" t="str">
        <f t="shared" si="34"/>
        <v>Normal</v>
      </c>
      <c r="R316" s="2" t="s">
        <v>62</v>
      </c>
      <c r="S316" s="2" t="s">
        <v>22</v>
      </c>
      <c r="T316" s="2" t="s">
        <v>30</v>
      </c>
      <c r="U316">
        <f t="shared" si="33"/>
        <v>1</v>
      </c>
    </row>
    <row r="317" spans="1:21">
      <c r="A317" s="2" t="s">
        <v>581</v>
      </c>
      <c r="B317" s="2" t="s">
        <v>64</v>
      </c>
      <c r="C317" s="2" t="str">
        <f t="shared" si="35"/>
        <v>2026-07-13</v>
      </c>
      <c r="D317" s="5">
        <f t="shared" si="36"/>
        <v>46216</v>
      </c>
      <c r="E317" s="2" t="s">
        <v>85</v>
      </c>
      <c r="F317" s="2" t="str">
        <f t="shared" si="37"/>
        <v>Karawang</v>
      </c>
      <c r="G317" s="2" t="s">
        <v>34</v>
      </c>
      <c r="H317" s="2" t="str">
        <f t="shared" si="38"/>
        <v>Joko Widodo S.</v>
      </c>
      <c r="I317" s="2" t="s">
        <v>582</v>
      </c>
      <c r="J317" s="2" t="str">
        <f t="shared" si="39"/>
        <v>Oscar Firmansyah</v>
      </c>
      <c r="K317" s="2" t="s">
        <v>44</v>
      </c>
      <c r="L317" s="2" t="s">
        <v>45</v>
      </c>
      <c r="M317" s="2">
        <v>1</v>
      </c>
      <c r="N317" s="3">
        <v>24600000</v>
      </c>
      <c r="O317" s="3">
        <v>246000</v>
      </c>
      <c r="P317" s="3">
        <v>24354000</v>
      </c>
      <c r="Q317" s="3" t="str">
        <f t="shared" si="34"/>
        <v>Normal</v>
      </c>
      <c r="R317" s="2" t="s">
        <v>38</v>
      </c>
      <c r="S317" s="2" t="s">
        <v>22</v>
      </c>
      <c r="T317" s="2" t="s">
        <v>30</v>
      </c>
      <c r="U317">
        <f t="shared" si="33"/>
        <v>1</v>
      </c>
    </row>
    <row r="318" spans="1:21">
      <c r="A318" s="2" t="s">
        <v>583</v>
      </c>
      <c r="B318" s="2" t="s">
        <v>140</v>
      </c>
      <c r="C318" s="2" t="str">
        <f t="shared" si="35"/>
        <v>2026-07-19</v>
      </c>
      <c r="D318" s="5">
        <f t="shared" si="36"/>
        <v>46222</v>
      </c>
      <c r="E318" s="2" t="s">
        <v>148</v>
      </c>
      <c r="F318" s="2" t="str">
        <f t="shared" si="37"/>
        <v>Cikarang</v>
      </c>
      <c r="G318" s="2" t="s">
        <v>27</v>
      </c>
      <c r="H318" s="2" t="str">
        <f t="shared" si="38"/>
        <v>Vino Bastian G.</v>
      </c>
      <c r="I318" s="2" t="s">
        <v>584</v>
      </c>
      <c r="J318" s="2" t="str">
        <f t="shared" si="39"/>
        <v>Ahmad Ramadhan</v>
      </c>
      <c r="K318" s="2" t="s">
        <v>142</v>
      </c>
      <c r="L318" s="2" t="s">
        <v>143</v>
      </c>
      <c r="M318" s="2">
        <v>1</v>
      </c>
      <c r="N318" s="3">
        <v>18900000</v>
      </c>
      <c r="O318" s="3">
        <v>378000</v>
      </c>
      <c r="P318" s="3">
        <v>18522000</v>
      </c>
      <c r="Q318" s="3" t="str">
        <f t="shared" si="34"/>
        <v>Normal</v>
      </c>
      <c r="R318" s="2" t="s">
        <v>29</v>
      </c>
      <c r="S318" s="2" t="s">
        <v>22</v>
      </c>
      <c r="T318" s="2" t="s">
        <v>23</v>
      </c>
      <c r="U318">
        <f t="shared" si="33"/>
        <v>1</v>
      </c>
    </row>
    <row r="319" spans="1:21">
      <c r="A319" s="2" t="s">
        <v>585</v>
      </c>
      <c r="B319" s="2" t="s">
        <v>140</v>
      </c>
      <c r="C319" s="2" t="str">
        <f t="shared" si="35"/>
        <v>2026-07-19</v>
      </c>
      <c r="D319" s="5">
        <f t="shared" si="36"/>
        <v>46222</v>
      </c>
      <c r="E319" s="2" t="s">
        <v>148</v>
      </c>
      <c r="F319" s="2" t="str">
        <f t="shared" si="37"/>
        <v>Cikarang</v>
      </c>
      <c r="G319" s="2" t="s">
        <v>58</v>
      </c>
      <c r="H319" s="2" t="str">
        <f t="shared" si="38"/>
        <v>Umi Kalsum</v>
      </c>
      <c r="I319" s="2" t="s">
        <v>507</v>
      </c>
      <c r="J319" s="2" t="str">
        <f t="shared" si="39"/>
        <v>Qori Saputra</v>
      </c>
      <c r="K319" s="2" t="s">
        <v>99</v>
      </c>
      <c r="L319" s="2" t="s">
        <v>100</v>
      </c>
      <c r="M319" s="2">
        <v>1</v>
      </c>
      <c r="N319" s="3">
        <v>29800000</v>
      </c>
      <c r="O319" s="3">
        <v>1490000</v>
      </c>
      <c r="P319" s="3">
        <v>28310000</v>
      </c>
      <c r="Q319" s="3" t="str">
        <f t="shared" si="34"/>
        <v>Normal</v>
      </c>
      <c r="R319" s="2" t="s">
        <v>21</v>
      </c>
      <c r="S319" s="2" t="s">
        <v>22</v>
      </c>
      <c r="T319" s="2" t="s">
        <v>39</v>
      </c>
      <c r="U319">
        <f t="shared" si="33"/>
        <v>1</v>
      </c>
    </row>
    <row r="320" spans="1:21">
      <c r="A320" s="2" t="s">
        <v>586</v>
      </c>
      <c r="B320" s="2" t="s">
        <v>64</v>
      </c>
      <c r="C320" s="2" t="str">
        <f t="shared" si="35"/>
        <v>2026-07-13</v>
      </c>
      <c r="D320" s="5">
        <f t="shared" si="36"/>
        <v>46216</v>
      </c>
      <c r="E320" s="2" t="s">
        <v>71</v>
      </c>
      <c r="F320" s="2" t="str">
        <f t="shared" si="37"/>
        <v>Bekasi</v>
      </c>
      <c r="G320" s="2" t="s">
        <v>17</v>
      </c>
      <c r="H320" s="2" t="str">
        <f t="shared" si="38"/>
        <v>Taufik Hidayat</v>
      </c>
      <c r="I320" s="2" t="s">
        <v>146</v>
      </c>
      <c r="J320" s="2" t="str">
        <f t="shared" si="39"/>
        <v>Ahmad Wijaya</v>
      </c>
      <c r="K320" s="2" t="s">
        <v>152</v>
      </c>
      <c r="L320" s="2" t="s">
        <v>153</v>
      </c>
      <c r="M320" s="2">
        <v>1</v>
      </c>
      <c r="N320" s="3">
        <v>27400000</v>
      </c>
      <c r="O320" s="3">
        <v>548000</v>
      </c>
      <c r="P320" s="3">
        <v>26852000</v>
      </c>
      <c r="Q320" s="3" t="str">
        <f t="shared" si="34"/>
        <v>Normal</v>
      </c>
      <c r="R320" s="2" t="s">
        <v>62</v>
      </c>
      <c r="S320" s="2" t="s">
        <v>22</v>
      </c>
      <c r="T320" s="2" t="s">
        <v>77</v>
      </c>
      <c r="U320">
        <f t="shared" si="33"/>
        <v>1</v>
      </c>
    </row>
    <row r="321" spans="1:21">
      <c r="A321" s="2" t="s">
        <v>587</v>
      </c>
      <c r="B321" s="2" t="s">
        <v>25</v>
      </c>
      <c r="C321" s="2" t="str">
        <f t="shared" si="35"/>
        <v>2026-07-16</v>
      </c>
      <c r="D321" s="5">
        <f t="shared" si="36"/>
        <v>46219</v>
      </c>
      <c r="E321" s="2" t="s">
        <v>155</v>
      </c>
      <c r="F321" s="2" t="str">
        <f t="shared" si="37"/>
        <v>Tangerang</v>
      </c>
      <c r="G321" s="2" t="s">
        <v>49</v>
      </c>
      <c r="H321" s="2" t="str">
        <f t="shared" si="38"/>
        <v>Fajar Nugraha</v>
      </c>
      <c r="I321" s="2" t="s">
        <v>551</v>
      </c>
      <c r="J321" s="2" t="str">
        <f t="shared" si="39"/>
        <v>Jihan Wijaya</v>
      </c>
      <c r="K321" s="2" t="s">
        <v>91</v>
      </c>
      <c r="L321" s="2" t="s">
        <v>92</v>
      </c>
      <c r="M321" s="2">
        <v>1</v>
      </c>
      <c r="N321" s="3">
        <v>26900000</v>
      </c>
      <c r="O321" s="3">
        <v>269000</v>
      </c>
      <c r="P321" s="3">
        <v>26631000</v>
      </c>
      <c r="Q321" s="3" t="str">
        <f t="shared" si="34"/>
        <v>Normal</v>
      </c>
      <c r="R321" s="2" t="s">
        <v>46</v>
      </c>
      <c r="S321" s="2" t="s">
        <v>22</v>
      </c>
      <c r="T321" s="2" t="s">
        <v>30</v>
      </c>
      <c r="U321">
        <f t="shared" si="33"/>
        <v>1</v>
      </c>
    </row>
    <row r="322" spans="1:21">
      <c r="A322" s="2" t="s">
        <v>588</v>
      </c>
      <c r="B322" s="2" t="s">
        <v>15</v>
      </c>
      <c r="C322" s="2" t="str">
        <f t="shared" si="35"/>
        <v>2026-07-14</v>
      </c>
      <c r="D322" s="5">
        <f t="shared" si="36"/>
        <v>46217</v>
      </c>
      <c r="E322" s="2" t="s">
        <v>16</v>
      </c>
      <c r="F322" s="2" t="str">
        <f t="shared" si="37"/>
        <v>Cibubur</v>
      </c>
      <c r="G322" s="2" t="s">
        <v>34</v>
      </c>
      <c r="H322" s="2" t="str">
        <f t="shared" si="38"/>
        <v>Joko Widodo S.</v>
      </c>
      <c r="I322" s="2" t="s">
        <v>482</v>
      </c>
      <c r="J322" s="2" t="str">
        <f t="shared" si="39"/>
        <v>Eko Anggraini</v>
      </c>
      <c r="K322" s="2" t="s">
        <v>152</v>
      </c>
      <c r="L322" s="2" t="s">
        <v>153</v>
      </c>
      <c r="M322" s="2">
        <v>1</v>
      </c>
      <c r="N322" s="3">
        <v>27400000</v>
      </c>
      <c r="O322" s="3">
        <v>548000</v>
      </c>
      <c r="P322" s="3">
        <v>26852000</v>
      </c>
      <c r="Q322" s="3" t="str">
        <f t="shared" si="34"/>
        <v>Normal</v>
      </c>
      <c r="R322" s="2" t="s">
        <v>21</v>
      </c>
      <c r="S322" s="2" t="s">
        <v>22</v>
      </c>
      <c r="T322" s="2" t="s">
        <v>77</v>
      </c>
      <c r="U322">
        <f t="shared" ref="U322:U342" si="40">COUNTIF($A$2:$A$342,A322)</f>
        <v>1</v>
      </c>
    </row>
    <row r="323" spans="1:21">
      <c r="A323" s="2" t="s">
        <v>589</v>
      </c>
      <c r="B323" s="2" t="s">
        <v>108</v>
      </c>
      <c r="C323" s="2" t="str">
        <f t="shared" si="35"/>
        <v>2026-07-18</v>
      </c>
      <c r="D323" s="5">
        <f t="shared" si="36"/>
        <v>46221</v>
      </c>
      <c r="E323" s="2" t="s">
        <v>470</v>
      </c>
      <c r="F323" s="2" t="str">
        <f t="shared" si="37"/>
        <v>Tangerang</v>
      </c>
      <c r="G323" s="2" t="s">
        <v>145</v>
      </c>
      <c r="H323" s="2" t="str">
        <f t="shared" si="38"/>
        <v>Doni Saputra</v>
      </c>
      <c r="I323" s="2" t="s">
        <v>590</v>
      </c>
      <c r="J323" s="2" t="str">
        <f t="shared" si="39"/>
        <v>Dewi Lestari</v>
      </c>
      <c r="K323" s="2" t="s">
        <v>19</v>
      </c>
      <c r="L323" s="2" t="s">
        <v>20</v>
      </c>
      <c r="M323" s="2">
        <v>1</v>
      </c>
      <c r="N323" s="3">
        <v>33500000</v>
      </c>
      <c r="O323" s="3">
        <v>0</v>
      </c>
      <c r="P323" s="3">
        <v>33500000</v>
      </c>
      <c r="Q323" s="3" t="str">
        <f t="shared" ref="Q323:Q342" si="41">IF(P323=0,"Batal/Refund","Normal")</f>
        <v>Normal</v>
      </c>
      <c r="R323" s="2" t="s">
        <v>46</v>
      </c>
      <c r="S323" s="2" t="s">
        <v>22</v>
      </c>
      <c r="T323" s="2" t="s">
        <v>39</v>
      </c>
      <c r="U323">
        <f t="shared" si="40"/>
        <v>1</v>
      </c>
    </row>
    <row r="324" spans="1:21">
      <c r="A324" s="2" t="s">
        <v>591</v>
      </c>
      <c r="B324" s="2" t="s">
        <v>57</v>
      </c>
      <c r="C324" s="2" t="str">
        <f t="shared" si="35"/>
        <v>2026-07-17</v>
      </c>
      <c r="D324" s="5">
        <f t="shared" si="36"/>
        <v>46220</v>
      </c>
      <c r="E324" s="2" t="s">
        <v>65</v>
      </c>
      <c r="F324" s="2" t="str">
        <f t="shared" si="37"/>
        <v>Bandung</v>
      </c>
      <c r="G324" s="2" t="s">
        <v>145</v>
      </c>
      <c r="H324" s="2" t="str">
        <f t="shared" si="38"/>
        <v>Doni Saputra</v>
      </c>
      <c r="I324" s="2" t="s">
        <v>136</v>
      </c>
      <c r="J324" s="2" t="str">
        <f t="shared" si="39"/>
        <v>Dewi Firmansyah</v>
      </c>
      <c r="K324" s="2" t="s">
        <v>99</v>
      </c>
      <c r="L324" s="2" t="s">
        <v>100</v>
      </c>
      <c r="M324" s="2">
        <v>1</v>
      </c>
      <c r="N324" s="3">
        <v>29800000</v>
      </c>
      <c r="O324" s="3">
        <v>298000</v>
      </c>
      <c r="P324" s="3">
        <v>29502000</v>
      </c>
      <c r="Q324" s="3" t="str">
        <f t="shared" si="41"/>
        <v>Normal</v>
      </c>
      <c r="R324" s="2" t="s">
        <v>29</v>
      </c>
      <c r="S324" s="2" t="s">
        <v>22</v>
      </c>
      <c r="T324" s="2" t="s">
        <v>77</v>
      </c>
      <c r="U324">
        <f t="shared" si="40"/>
        <v>1</v>
      </c>
    </row>
    <row r="325" spans="1:21">
      <c r="A325" s="2" t="s">
        <v>592</v>
      </c>
      <c r="B325" s="2" t="s">
        <v>15</v>
      </c>
      <c r="C325" s="2" t="str">
        <f t="shared" si="35"/>
        <v>2026-07-14</v>
      </c>
      <c r="D325" s="5">
        <f t="shared" si="36"/>
        <v>46217</v>
      </c>
      <c r="E325" s="2" t="s">
        <v>112</v>
      </c>
      <c r="F325" s="2" t="str">
        <f t="shared" si="37"/>
        <v>Jakarta Timur</v>
      </c>
      <c r="G325" s="2" t="s">
        <v>145</v>
      </c>
      <c r="H325" s="2" t="str">
        <f t="shared" si="38"/>
        <v>Doni Saputra</v>
      </c>
      <c r="I325" s="2" t="s">
        <v>329</v>
      </c>
      <c r="J325" s="2" t="str">
        <f t="shared" si="39"/>
        <v>Dewi Wijaya</v>
      </c>
      <c r="K325" s="2" t="s">
        <v>99</v>
      </c>
      <c r="L325" s="2" t="s">
        <v>100</v>
      </c>
      <c r="M325" s="2">
        <v>1</v>
      </c>
      <c r="N325" s="3">
        <v>29800000</v>
      </c>
      <c r="O325" s="3">
        <v>298000</v>
      </c>
      <c r="P325" s="3">
        <v>29502000</v>
      </c>
      <c r="Q325" s="3" t="str">
        <f t="shared" si="41"/>
        <v>Normal</v>
      </c>
      <c r="R325" s="2" t="s">
        <v>62</v>
      </c>
      <c r="S325" s="2" t="s">
        <v>22</v>
      </c>
      <c r="T325" s="2" t="s">
        <v>39</v>
      </c>
      <c r="U325">
        <f t="shared" si="40"/>
        <v>1</v>
      </c>
    </row>
    <row r="326" spans="1:21">
      <c r="A326" s="2" t="s">
        <v>593</v>
      </c>
      <c r="B326" s="2" t="s">
        <v>111</v>
      </c>
      <c r="C326" s="2" t="str">
        <f t="shared" si="35"/>
        <v>14/07/2026</v>
      </c>
      <c r="D326" s="5">
        <f t="shared" si="36"/>
        <v>46217</v>
      </c>
      <c r="E326" s="2" t="s">
        <v>65</v>
      </c>
      <c r="F326" s="2" t="str">
        <f t="shared" si="37"/>
        <v>Bandung</v>
      </c>
      <c r="G326" s="2" t="s">
        <v>49</v>
      </c>
      <c r="H326" s="2" t="str">
        <f t="shared" si="38"/>
        <v>Fajar Nugraha</v>
      </c>
      <c r="I326" s="2" t="s">
        <v>133</v>
      </c>
      <c r="J326" s="2" t="str">
        <f t="shared" si="39"/>
        <v>Putra Wijaya</v>
      </c>
      <c r="K326" s="2" t="s">
        <v>19</v>
      </c>
      <c r="L326" s="2" t="s">
        <v>20</v>
      </c>
      <c r="M326" s="2">
        <v>1</v>
      </c>
      <c r="N326" s="3">
        <v>33500000</v>
      </c>
      <c r="O326" s="3">
        <v>335000</v>
      </c>
      <c r="P326" s="3">
        <v>33165000</v>
      </c>
      <c r="Q326" s="3" t="str">
        <f t="shared" si="41"/>
        <v>Normal</v>
      </c>
      <c r="R326" s="2" t="s">
        <v>21</v>
      </c>
      <c r="S326" s="2" t="s">
        <v>22</v>
      </c>
      <c r="T326" s="2" t="s">
        <v>23</v>
      </c>
      <c r="U326">
        <f t="shared" si="40"/>
        <v>1</v>
      </c>
    </row>
    <row r="327" spans="1:21">
      <c r="A327" s="2" t="s">
        <v>594</v>
      </c>
      <c r="B327" s="2" t="s">
        <v>25</v>
      </c>
      <c r="C327" s="2" t="str">
        <f t="shared" si="35"/>
        <v>2026-07-16</v>
      </c>
      <c r="D327" s="5">
        <f t="shared" si="36"/>
        <v>46219</v>
      </c>
      <c r="E327" s="2" t="s">
        <v>65</v>
      </c>
      <c r="F327" s="2" t="str">
        <f t="shared" si="37"/>
        <v>Bandung</v>
      </c>
      <c r="G327" s="2" t="s">
        <v>49</v>
      </c>
      <c r="H327" s="2" t="str">
        <f t="shared" si="38"/>
        <v>Fajar Nugraha</v>
      </c>
      <c r="I327" s="2" t="s">
        <v>595</v>
      </c>
      <c r="J327" s="2" t="str">
        <f t="shared" si="39"/>
        <v>Dewi Saputra</v>
      </c>
      <c r="K327" s="2" t="s">
        <v>142</v>
      </c>
      <c r="L327" s="2" t="s">
        <v>143</v>
      </c>
      <c r="M327" s="2">
        <v>1</v>
      </c>
      <c r="N327" s="3">
        <v>18900000</v>
      </c>
      <c r="O327" s="3">
        <v>0</v>
      </c>
      <c r="P327" s="3">
        <v>18900000</v>
      </c>
      <c r="Q327" s="3" t="str">
        <f t="shared" si="41"/>
        <v>Normal</v>
      </c>
      <c r="R327" s="2" t="s">
        <v>46</v>
      </c>
      <c r="S327" s="2" t="s">
        <v>22</v>
      </c>
      <c r="T327" s="2" t="s">
        <v>30</v>
      </c>
      <c r="U327">
        <f t="shared" si="40"/>
        <v>1</v>
      </c>
    </row>
    <row r="328" spans="1:21">
      <c r="A328" s="2" t="s">
        <v>596</v>
      </c>
      <c r="B328" s="2" t="s">
        <v>102</v>
      </c>
      <c r="C328" s="2" t="str">
        <f t="shared" ref="C328:C341" si="42">SUBSTITUTE(SUBSTITUTE(SUBSTITUTE(SUBSTITUTE(SUBSTITUTE(SUBSTITUTE(SUBSTITUTE(SUBSTITUTE(SUBSTITUTE(SUBSTITUTE(SUBSTITUTE(SUBSTITUTE(B328," Januari ","/01/")," Februari ","/02/")," Maret ","/03/")," April ","/04/")," Mei ","/05/")," Juni ","/06/")," Juli ","/07/")," Agustus ","/08/")," September ","/09/")," Oktober ","/10/")," November ","/11/")," Desember ","/12/")</f>
        <v>18/07/2026</v>
      </c>
      <c r="D328" s="5">
        <f t="shared" ref="D328:D341" si="43">IFERROR(DATE(VALUE(LEFT(C328,4)),VALUE(MID(C328,6,2)),VALUE(RIGHT(C328,2))),DATE(VALUE(RIGHT(C328,4)),VALUE(MID(C328,4,2)),VALUE(LEFT(C328,2))))</f>
        <v>46221</v>
      </c>
      <c r="E328" s="2" t="s">
        <v>65</v>
      </c>
      <c r="F328" s="2" t="str">
        <f t="shared" ref="F328:F341" si="44">PROPER(TRIM(SUBSTITUTE(SUBSTITUTE(E328,"Jaksel","Jakarta Selatan"),"Tangerang Kota","Tangerang")))</f>
        <v>Bandung</v>
      </c>
      <c r="G328" s="2" t="s">
        <v>75</v>
      </c>
      <c r="H328" s="2" t="str">
        <f t="shared" ref="H328:H341" si="45">IF(G328="","Unknown",G328)</f>
        <v>Eka Putri</v>
      </c>
      <c r="I328" s="2" t="s">
        <v>190</v>
      </c>
      <c r="J328" s="2" t="str">
        <f t="shared" ref="J328:J341" si="46">IF(I328="","Unknown",I328)</f>
        <v>Hana Hidayat</v>
      </c>
      <c r="K328" s="2" t="s">
        <v>99</v>
      </c>
      <c r="L328" s="2" t="s">
        <v>100</v>
      </c>
      <c r="M328" s="2">
        <v>1</v>
      </c>
      <c r="N328" s="3">
        <v>29800000</v>
      </c>
      <c r="O328" s="3">
        <v>596000</v>
      </c>
      <c r="P328" s="3">
        <v>29204000</v>
      </c>
      <c r="Q328" s="3" t="str">
        <f t="shared" si="41"/>
        <v>Normal</v>
      </c>
      <c r="R328" s="2" t="s">
        <v>29</v>
      </c>
      <c r="S328" s="2" t="s">
        <v>22</v>
      </c>
      <c r="T328" s="2" t="s">
        <v>39</v>
      </c>
      <c r="U328">
        <f t="shared" si="40"/>
        <v>1</v>
      </c>
    </row>
    <row r="329" spans="1:21">
      <c r="A329" s="2" t="s">
        <v>597</v>
      </c>
      <c r="B329" s="2" t="s">
        <v>108</v>
      </c>
      <c r="C329" s="2" t="str">
        <f t="shared" si="42"/>
        <v>2026-07-18</v>
      </c>
      <c r="D329" s="5">
        <f t="shared" si="43"/>
        <v>46221</v>
      </c>
      <c r="E329" s="2" t="s">
        <v>182</v>
      </c>
      <c r="F329" s="2" t="str">
        <f t="shared" si="44"/>
        <v>Bogor</v>
      </c>
      <c r="G329" s="2" t="s">
        <v>49</v>
      </c>
      <c r="H329" s="2" t="str">
        <f t="shared" si="45"/>
        <v>Fajar Nugraha</v>
      </c>
      <c r="I329" s="2" t="s">
        <v>232</v>
      </c>
      <c r="J329" s="2" t="str">
        <f t="shared" si="46"/>
        <v>Tono Saputra</v>
      </c>
      <c r="K329" s="2" t="s">
        <v>142</v>
      </c>
      <c r="L329" s="2" t="s">
        <v>143</v>
      </c>
      <c r="M329" s="2">
        <v>1</v>
      </c>
      <c r="N329" s="3">
        <v>18900000</v>
      </c>
      <c r="O329" s="3">
        <v>945000</v>
      </c>
      <c r="P329" s="3">
        <v>0</v>
      </c>
      <c r="Q329" s="3" t="str">
        <f t="shared" si="41"/>
        <v>Batal/Refund</v>
      </c>
      <c r="R329" s="2" t="s">
        <v>62</v>
      </c>
      <c r="S329" s="2" t="s">
        <v>22</v>
      </c>
      <c r="T329" s="2" t="s">
        <v>23</v>
      </c>
      <c r="U329">
        <f t="shared" si="40"/>
        <v>1</v>
      </c>
    </row>
    <row r="330" spans="1:21">
      <c r="A330" s="2" t="s">
        <v>598</v>
      </c>
      <c r="B330" s="2" t="s">
        <v>108</v>
      </c>
      <c r="C330" s="2" t="str">
        <f t="shared" si="42"/>
        <v>2026-07-18</v>
      </c>
      <c r="D330" s="5">
        <f t="shared" si="43"/>
        <v>46221</v>
      </c>
      <c r="E330" s="2" t="s">
        <v>48</v>
      </c>
      <c r="F330" s="2" t="str">
        <f t="shared" si="44"/>
        <v>Jakarta Selatan</v>
      </c>
      <c r="G330" s="2" t="s">
        <v>201</v>
      </c>
      <c r="H330" s="2" t="str">
        <f t="shared" si="45"/>
        <v>Nanda Pratama</v>
      </c>
      <c r="I330" s="2" t="s">
        <v>476</v>
      </c>
      <c r="J330" s="2" t="str">
        <f t="shared" si="46"/>
        <v>Rendi Maharani</v>
      </c>
      <c r="K330" s="2" t="s">
        <v>152</v>
      </c>
      <c r="L330" s="2" t="s">
        <v>153</v>
      </c>
      <c r="M330" s="2">
        <v>1</v>
      </c>
      <c r="N330" s="3">
        <v>27400000</v>
      </c>
      <c r="O330" s="3">
        <v>548000</v>
      </c>
      <c r="P330" s="3">
        <v>26852000</v>
      </c>
      <c r="Q330" s="3" t="str">
        <f t="shared" si="41"/>
        <v>Normal</v>
      </c>
      <c r="R330" s="2" t="s">
        <v>21</v>
      </c>
      <c r="S330" s="2" t="s">
        <v>22</v>
      </c>
      <c r="T330" s="2" t="s">
        <v>23</v>
      </c>
      <c r="U330">
        <f t="shared" si="40"/>
        <v>1</v>
      </c>
    </row>
    <row r="331" spans="1:21">
      <c r="A331" s="2" t="s">
        <v>599</v>
      </c>
      <c r="B331" s="2" t="s">
        <v>125</v>
      </c>
      <c r="C331" s="2" t="str">
        <f t="shared" si="42"/>
        <v>16/07/2026</v>
      </c>
      <c r="D331" s="5">
        <f t="shared" si="43"/>
        <v>46219</v>
      </c>
      <c r="E331" s="2" t="s">
        <v>112</v>
      </c>
      <c r="F331" s="2" t="str">
        <f t="shared" si="44"/>
        <v>Jakarta Timur</v>
      </c>
      <c r="G331" s="2" t="s">
        <v>34</v>
      </c>
      <c r="H331" s="2" t="str">
        <f t="shared" si="45"/>
        <v>Joko Widodo S.</v>
      </c>
      <c r="I331" s="2" t="s">
        <v>59</v>
      </c>
      <c r="J331" s="2" t="str">
        <f t="shared" si="46"/>
        <v>Putra Kusuma</v>
      </c>
      <c r="K331" s="2" t="s">
        <v>142</v>
      </c>
      <c r="L331" s="2" t="s">
        <v>143</v>
      </c>
      <c r="M331" s="2">
        <v>1</v>
      </c>
      <c r="N331" s="3">
        <v>18900000</v>
      </c>
      <c r="O331" s="3">
        <v>378000</v>
      </c>
      <c r="P331" s="3">
        <v>18522000</v>
      </c>
      <c r="Q331" s="3" t="str">
        <f t="shared" si="41"/>
        <v>Normal</v>
      </c>
      <c r="R331" s="2" t="s">
        <v>38</v>
      </c>
      <c r="S331" s="2" t="s">
        <v>22</v>
      </c>
      <c r="T331" s="2" t="s">
        <v>39</v>
      </c>
      <c r="U331">
        <f t="shared" si="40"/>
        <v>1</v>
      </c>
    </row>
    <row r="332" spans="1:21">
      <c r="A332" s="2" t="s">
        <v>600</v>
      </c>
      <c r="B332" s="2" t="s">
        <v>162</v>
      </c>
      <c r="C332" s="2" t="str">
        <f t="shared" si="42"/>
        <v>18/07/2026</v>
      </c>
      <c r="D332" s="5">
        <f t="shared" si="43"/>
        <v>46221</v>
      </c>
      <c r="E332" s="2" t="s">
        <v>85</v>
      </c>
      <c r="F332" s="2" t="str">
        <f t="shared" si="44"/>
        <v>Karawang</v>
      </c>
      <c r="G332" s="2" t="s">
        <v>201</v>
      </c>
      <c r="H332" s="2" t="str">
        <f t="shared" si="45"/>
        <v>Nanda Pratama</v>
      </c>
      <c r="I332" s="2" t="s">
        <v>183</v>
      </c>
      <c r="J332" s="2" t="str">
        <f t="shared" si="46"/>
        <v>Galih Hidayat</v>
      </c>
      <c r="K332" s="2" t="s">
        <v>99</v>
      </c>
      <c r="L332" s="2" t="s">
        <v>100</v>
      </c>
      <c r="M332" s="2">
        <v>1</v>
      </c>
      <c r="N332" s="3">
        <v>29800000</v>
      </c>
      <c r="O332" s="3">
        <v>0</v>
      </c>
      <c r="P332" s="3">
        <v>29800000</v>
      </c>
      <c r="Q332" s="3" t="str">
        <f t="shared" si="41"/>
        <v>Normal</v>
      </c>
      <c r="R332" s="2" t="s">
        <v>38</v>
      </c>
      <c r="S332" s="2" t="s">
        <v>22</v>
      </c>
      <c r="T332" s="2" t="s">
        <v>23</v>
      </c>
      <c r="U332">
        <f t="shared" si="40"/>
        <v>1</v>
      </c>
    </row>
    <row r="333" spans="1:21">
      <c r="A333" s="2" t="s">
        <v>601</v>
      </c>
      <c r="B333" s="2" t="s">
        <v>122</v>
      </c>
      <c r="C333" s="2" t="str">
        <f t="shared" si="42"/>
        <v>17/07/2026</v>
      </c>
      <c r="D333" s="5">
        <f t="shared" si="43"/>
        <v>46220</v>
      </c>
      <c r="E333" s="2" t="s">
        <v>26</v>
      </c>
      <c r="F333" s="2" t="str">
        <f t="shared" si="44"/>
        <v>Sukabumi</v>
      </c>
      <c r="G333" s="2" t="s">
        <v>98</v>
      </c>
      <c r="H333" s="2" t="str">
        <f t="shared" si="45"/>
        <v>Rangga Saputra</v>
      </c>
      <c r="I333" s="2" t="s">
        <v>349</v>
      </c>
      <c r="J333" s="2" t="str">
        <f t="shared" si="46"/>
        <v>Lala Firmansyah</v>
      </c>
      <c r="K333" s="2" t="s">
        <v>152</v>
      </c>
      <c r="L333" s="2" t="s">
        <v>153</v>
      </c>
      <c r="M333" s="2">
        <v>1</v>
      </c>
      <c r="N333" s="3">
        <v>27400000</v>
      </c>
      <c r="O333" s="3">
        <v>0</v>
      </c>
      <c r="P333" s="3">
        <v>27400000</v>
      </c>
      <c r="Q333" s="3" t="str">
        <f t="shared" si="41"/>
        <v>Normal</v>
      </c>
      <c r="R333" s="2" t="s">
        <v>46</v>
      </c>
      <c r="S333" s="2" t="s">
        <v>22</v>
      </c>
      <c r="T333" s="2" t="s">
        <v>30</v>
      </c>
      <c r="U333">
        <f t="shared" si="40"/>
        <v>1</v>
      </c>
    </row>
    <row r="334" spans="1:21">
      <c r="A334" s="2" t="s">
        <v>602</v>
      </c>
      <c r="B334" s="2" t="s">
        <v>15</v>
      </c>
      <c r="C334" s="2" t="str">
        <f t="shared" si="42"/>
        <v>2026-07-14</v>
      </c>
      <c r="D334" s="5">
        <f t="shared" si="43"/>
        <v>46217</v>
      </c>
      <c r="E334" s="2" t="s">
        <v>112</v>
      </c>
      <c r="F334" s="2" t="str">
        <f t="shared" si="44"/>
        <v>Jakarta Timur</v>
      </c>
      <c r="G334" s="2" t="s">
        <v>80</v>
      </c>
      <c r="H334" s="2" t="str">
        <f t="shared" si="45"/>
        <v>Kiki Amelia</v>
      </c>
      <c r="I334" s="2" t="s">
        <v>127</v>
      </c>
      <c r="J334" s="2" t="str">
        <f t="shared" si="46"/>
        <v>Made Anggraini</v>
      </c>
      <c r="K334" s="2" t="s">
        <v>60</v>
      </c>
      <c r="L334" s="2" t="s">
        <v>61</v>
      </c>
      <c r="M334" s="2">
        <v>1</v>
      </c>
      <c r="N334" s="3">
        <v>21500000</v>
      </c>
      <c r="O334" s="3">
        <v>215000</v>
      </c>
      <c r="P334" s="3">
        <v>21285000</v>
      </c>
      <c r="Q334" s="3" t="str">
        <f t="shared" si="41"/>
        <v>Normal</v>
      </c>
      <c r="R334" s="2" t="s">
        <v>62</v>
      </c>
      <c r="S334" s="2" t="s">
        <v>22</v>
      </c>
      <c r="T334" s="2" t="s">
        <v>77</v>
      </c>
      <c r="U334">
        <f t="shared" si="40"/>
        <v>1</v>
      </c>
    </row>
    <row r="335" spans="1:21">
      <c r="A335" s="2" t="s">
        <v>222</v>
      </c>
      <c r="B335" s="2" t="s">
        <v>140</v>
      </c>
      <c r="C335" s="2" t="str">
        <f t="shared" si="42"/>
        <v>2026-07-19</v>
      </c>
      <c r="D335" s="5">
        <f t="shared" si="43"/>
        <v>46222</v>
      </c>
      <c r="E335" s="2" t="s">
        <v>16</v>
      </c>
      <c r="F335" s="2" t="str">
        <f t="shared" si="44"/>
        <v>Cibubur</v>
      </c>
      <c r="G335" s="2" t="s">
        <v>54</v>
      </c>
      <c r="H335" s="2" t="str">
        <f t="shared" si="45"/>
        <v>Hadi Santoso</v>
      </c>
      <c r="I335" s="2" t="s">
        <v>223</v>
      </c>
      <c r="J335" s="2" t="str">
        <f t="shared" si="46"/>
        <v>Rendi Kusuma</v>
      </c>
      <c r="K335" s="2" t="s">
        <v>152</v>
      </c>
      <c r="L335" s="2" t="s">
        <v>153</v>
      </c>
      <c r="M335" s="2">
        <v>1</v>
      </c>
      <c r="N335" s="3">
        <v>27400000</v>
      </c>
      <c r="O335" s="3">
        <v>1370000</v>
      </c>
      <c r="P335" s="3">
        <v>26030000</v>
      </c>
      <c r="Q335" s="3" t="str">
        <f t="shared" si="41"/>
        <v>Normal</v>
      </c>
      <c r="R335" s="2" t="s">
        <v>29</v>
      </c>
      <c r="S335" s="2" t="s">
        <v>22</v>
      </c>
      <c r="T335" s="2" t="s">
        <v>23</v>
      </c>
      <c r="U335">
        <f t="shared" si="40"/>
        <v>1</v>
      </c>
    </row>
    <row r="336" spans="1:21">
      <c r="A336" s="2" t="s">
        <v>603</v>
      </c>
      <c r="B336" s="2" t="s">
        <v>25</v>
      </c>
      <c r="C336" s="2" t="str">
        <f t="shared" si="42"/>
        <v>2026-07-16</v>
      </c>
      <c r="D336" s="5">
        <f t="shared" si="43"/>
        <v>46219</v>
      </c>
      <c r="E336" s="2" t="s">
        <v>155</v>
      </c>
      <c r="F336" s="2" t="str">
        <f t="shared" si="44"/>
        <v>Tangerang</v>
      </c>
      <c r="G336" s="2" t="s">
        <v>130</v>
      </c>
      <c r="H336" s="2" t="str">
        <f t="shared" si="45"/>
        <v>Indah Permata</v>
      </c>
      <c r="I336" s="2" t="s">
        <v>240</v>
      </c>
      <c r="J336" s="2" t="str">
        <f t="shared" si="46"/>
        <v>Budi Kusuma</v>
      </c>
      <c r="K336" s="2" t="s">
        <v>99</v>
      </c>
      <c r="L336" s="2" t="s">
        <v>100</v>
      </c>
      <c r="M336" s="2">
        <v>1</v>
      </c>
      <c r="N336" s="3">
        <v>29800000</v>
      </c>
      <c r="O336" s="3">
        <v>0</v>
      </c>
      <c r="P336" s="3">
        <v>29800000</v>
      </c>
      <c r="Q336" s="3" t="str">
        <f t="shared" si="41"/>
        <v>Normal</v>
      </c>
      <c r="R336" s="2" t="s">
        <v>21</v>
      </c>
      <c r="S336" s="2" t="s">
        <v>22</v>
      </c>
      <c r="T336" s="2" t="s">
        <v>23</v>
      </c>
      <c r="U336">
        <f t="shared" si="40"/>
        <v>1</v>
      </c>
    </row>
    <row r="337" spans="1:21">
      <c r="A337" s="2" t="s">
        <v>604</v>
      </c>
      <c r="B337" s="2" t="s">
        <v>140</v>
      </c>
      <c r="C337" s="2" t="str">
        <f t="shared" si="42"/>
        <v>2026-07-19</v>
      </c>
      <c r="D337" s="5">
        <f t="shared" si="43"/>
        <v>46222</v>
      </c>
      <c r="E337" s="2" t="s">
        <v>85</v>
      </c>
      <c r="F337" s="2" t="str">
        <f t="shared" si="44"/>
        <v>Karawang</v>
      </c>
      <c r="G337" s="2" t="s">
        <v>130</v>
      </c>
      <c r="H337" s="2" t="str">
        <f t="shared" si="45"/>
        <v>Indah Permata</v>
      </c>
      <c r="I337" s="2" t="s">
        <v>116</v>
      </c>
      <c r="J337" s="2" t="str">
        <f t="shared" si="46"/>
        <v>Irfan Pratama</v>
      </c>
      <c r="K337" s="2" t="s">
        <v>99</v>
      </c>
      <c r="L337" s="2" t="s">
        <v>100</v>
      </c>
      <c r="M337" s="2">
        <v>1</v>
      </c>
      <c r="N337" s="3">
        <v>29800000</v>
      </c>
      <c r="O337" s="3">
        <v>0</v>
      </c>
      <c r="P337" s="3">
        <v>29800000</v>
      </c>
      <c r="Q337" s="3" t="str">
        <f t="shared" si="41"/>
        <v>Normal</v>
      </c>
      <c r="R337" s="2" t="s">
        <v>46</v>
      </c>
      <c r="S337" s="2" t="s">
        <v>82</v>
      </c>
      <c r="T337" s="2" t="s">
        <v>30</v>
      </c>
      <c r="U337">
        <f t="shared" si="40"/>
        <v>1</v>
      </c>
    </row>
    <row r="338" spans="1:21">
      <c r="A338" s="2" t="s">
        <v>605</v>
      </c>
      <c r="B338" s="2" t="s">
        <v>32</v>
      </c>
      <c r="C338" s="2" t="str">
        <f t="shared" si="42"/>
        <v>15/07/2026</v>
      </c>
      <c r="D338" s="5">
        <f t="shared" si="43"/>
        <v>46218</v>
      </c>
      <c r="E338" s="2" t="s">
        <v>85</v>
      </c>
      <c r="F338" s="2" t="str">
        <f t="shared" si="44"/>
        <v>Karawang</v>
      </c>
      <c r="G338" s="2" t="s">
        <v>17</v>
      </c>
      <c r="H338" s="2" t="str">
        <f t="shared" si="45"/>
        <v>Taufik Hidayat</v>
      </c>
      <c r="I338" s="2" t="s">
        <v>606</v>
      </c>
      <c r="J338" s="2" t="str">
        <f t="shared" si="46"/>
        <v>Made Firmansyah</v>
      </c>
      <c r="K338" s="2" t="s">
        <v>19</v>
      </c>
      <c r="L338" s="2" t="s">
        <v>20</v>
      </c>
      <c r="M338" s="2">
        <v>1</v>
      </c>
      <c r="N338" s="3">
        <v>33500000</v>
      </c>
      <c r="O338" s="3">
        <v>1005000</v>
      </c>
      <c r="P338" s="3">
        <v>32495000</v>
      </c>
      <c r="Q338" s="3" t="str">
        <f t="shared" si="41"/>
        <v>Normal</v>
      </c>
      <c r="R338" s="2" t="s">
        <v>29</v>
      </c>
      <c r="S338" s="2" t="s">
        <v>22</v>
      </c>
      <c r="T338" s="2" t="s">
        <v>77</v>
      </c>
      <c r="U338">
        <f t="shared" si="40"/>
        <v>1</v>
      </c>
    </row>
    <row r="339" spans="1:21">
      <c r="A339" s="2" t="s">
        <v>607</v>
      </c>
      <c r="B339" s="2" t="s">
        <v>211</v>
      </c>
      <c r="C339" s="2" t="str">
        <f t="shared" si="42"/>
        <v>17/07/2026</v>
      </c>
      <c r="D339" s="5">
        <f t="shared" si="43"/>
        <v>46220</v>
      </c>
      <c r="E339" s="2" t="s">
        <v>155</v>
      </c>
      <c r="F339" s="2" t="str">
        <f t="shared" si="44"/>
        <v>Tangerang</v>
      </c>
      <c r="G339" s="2" t="s">
        <v>72</v>
      </c>
      <c r="H339" s="2" t="str">
        <f t="shared" si="45"/>
        <v>Sari Dewi</v>
      </c>
      <c r="I339" s="2" t="s">
        <v>540</v>
      </c>
      <c r="J339" s="2" t="str">
        <f t="shared" si="46"/>
        <v>Ahmad Saputra</v>
      </c>
      <c r="K339" s="2" t="s">
        <v>19</v>
      </c>
      <c r="L339" s="2" t="s">
        <v>20</v>
      </c>
      <c r="M339" s="2">
        <v>1</v>
      </c>
      <c r="N339" s="3">
        <v>33500000</v>
      </c>
      <c r="O339" s="3">
        <v>0</v>
      </c>
      <c r="P339" s="3">
        <v>33500000</v>
      </c>
      <c r="Q339" s="3" t="str">
        <f t="shared" si="41"/>
        <v>Normal</v>
      </c>
      <c r="R339" s="2" t="s">
        <v>21</v>
      </c>
      <c r="S339" s="2" t="s">
        <v>22</v>
      </c>
      <c r="T339" s="2" t="s">
        <v>77</v>
      </c>
      <c r="U339">
        <f t="shared" si="40"/>
        <v>1</v>
      </c>
    </row>
    <row r="340" spans="1:21">
      <c r="A340" s="2" t="s">
        <v>608</v>
      </c>
      <c r="B340" s="2" t="s">
        <v>162</v>
      </c>
      <c r="C340" s="2" t="str">
        <f t="shared" si="42"/>
        <v>18/07/2026</v>
      </c>
      <c r="D340" s="5">
        <f t="shared" si="43"/>
        <v>46221</v>
      </c>
      <c r="E340" s="2" t="s">
        <v>182</v>
      </c>
      <c r="F340" s="2" t="str">
        <f t="shared" si="44"/>
        <v>Bogor</v>
      </c>
      <c r="G340" s="2" t="s">
        <v>66</v>
      </c>
      <c r="H340" s="2" t="str">
        <f t="shared" si="45"/>
        <v>Puji Lestari</v>
      </c>
      <c r="I340" s="2" t="s">
        <v>609</v>
      </c>
      <c r="J340" s="2" t="str">
        <f t="shared" si="46"/>
        <v>Qori Maharani</v>
      </c>
      <c r="K340" s="2" t="s">
        <v>91</v>
      </c>
      <c r="L340" s="2" t="s">
        <v>92</v>
      </c>
      <c r="M340" s="2">
        <v>1</v>
      </c>
      <c r="N340" s="3">
        <v>26900000</v>
      </c>
      <c r="O340" s="3">
        <v>538000</v>
      </c>
      <c r="P340" s="3">
        <v>26362000</v>
      </c>
      <c r="Q340" s="3" t="str">
        <f t="shared" si="41"/>
        <v>Normal</v>
      </c>
      <c r="R340" s="2" t="s">
        <v>62</v>
      </c>
      <c r="S340" s="2" t="s">
        <v>22</v>
      </c>
      <c r="T340" s="2" t="s">
        <v>39</v>
      </c>
      <c r="U340">
        <f t="shared" si="40"/>
        <v>1</v>
      </c>
    </row>
    <row r="341" spans="1:21">
      <c r="A341" s="2" t="s">
        <v>610</v>
      </c>
      <c r="B341" s="2" t="s">
        <v>15</v>
      </c>
      <c r="C341" s="2" t="str">
        <f t="shared" si="42"/>
        <v>2026-07-14</v>
      </c>
      <c r="D341" s="5">
        <f t="shared" si="43"/>
        <v>46217</v>
      </c>
      <c r="E341" s="2" t="s">
        <v>48</v>
      </c>
      <c r="F341" s="2" t="str">
        <f t="shared" si="44"/>
        <v>Jakarta Selatan</v>
      </c>
      <c r="G341" s="2" t="s">
        <v>98</v>
      </c>
      <c r="H341" s="2" t="str">
        <f t="shared" si="45"/>
        <v>Rangga Saputra</v>
      </c>
      <c r="I341" s="2" t="s">
        <v>381</v>
      </c>
      <c r="J341" s="2" t="str">
        <f t="shared" si="46"/>
        <v>Jihan Pratama</v>
      </c>
      <c r="K341" s="2" t="s">
        <v>68</v>
      </c>
      <c r="L341" s="2" t="s">
        <v>69</v>
      </c>
      <c r="M341" s="2">
        <v>1</v>
      </c>
      <c r="N341" s="3">
        <v>17800000</v>
      </c>
      <c r="O341" s="3">
        <v>0</v>
      </c>
      <c r="P341" s="3">
        <v>17800000</v>
      </c>
      <c r="Q341" s="3" t="str">
        <f t="shared" si="41"/>
        <v>Normal</v>
      </c>
      <c r="R341" s="2" t="s">
        <v>46</v>
      </c>
      <c r="S341" s="2" t="s">
        <v>22</v>
      </c>
      <c r="T341" s="2" t="s">
        <v>77</v>
      </c>
      <c r="U341">
        <f t="shared" si="40"/>
        <v>1</v>
      </c>
    </row>
    <row r="342" spans="1:21">
      <c r="A342" s="2" t="s">
        <v>611</v>
      </c>
      <c r="B342" s="2" t="s">
        <v>15</v>
      </c>
      <c r="C342" s="2" t="str">
        <f t="shared" ref="C342" si="47">SUBSTITUTE(SUBSTITUTE(SUBSTITUTE(SUBSTITUTE(SUBSTITUTE(SUBSTITUTE(SUBSTITUTE(SUBSTITUTE(SUBSTITUTE(SUBSTITUTE(SUBSTITUTE(SUBSTITUTE(B342," Januari ","/01/")," Februari ","/02/")," Maret ","/03/")," April ","/04/")," Mei ","/05/")," Juni ","/06/")," Juli ","/07/")," Agustus ","/08/")," September ","/09/")," Oktober ","/10/")," November ","/11/")," Desember ","/12/")</f>
        <v>2026-07-14</v>
      </c>
      <c r="D342" s="5">
        <f t="shared" ref="D342" si="48">IFERROR(DATE(VALUE(LEFT(C342,4)),VALUE(MID(C342,6,2)),VALUE(RIGHT(C342,2))),DATE(VALUE(RIGHT(C342,4)),VALUE(MID(C342,4,2)),VALUE(LEFT(C342,2))))</f>
        <v>46217</v>
      </c>
      <c r="E342" s="2" t="s">
        <v>71</v>
      </c>
      <c r="F342" s="2" t="str">
        <f t="shared" ref="F342" si="49">PROPER(TRIM(SUBSTITUTE(SUBSTITUTE(E342,"Jaksel","Jakarta Selatan"),"Tangerang Kota","Tangerang")))</f>
        <v>Bekasi</v>
      </c>
      <c r="G342" s="2" t="s">
        <v>126</v>
      </c>
      <c r="H342" s="2" t="str">
        <f t="shared" ref="H342" si="50">IF(G342="","Unknown",G342)</f>
        <v>Oki Setiawan</v>
      </c>
      <c r="I342" s="2" t="s">
        <v>476</v>
      </c>
      <c r="J342" s="2" t="str">
        <f t="shared" ref="J342" si="51">IF(I342="","Unknown",I342)</f>
        <v>Rendi Maharani</v>
      </c>
      <c r="K342" s="2" t="s">
        <v>19</v>
      </c>
      <c r="L342" s="2" t="s">
        <v>20</v>
      </c>
      <c r="M342" s="2">
        <v>1</v>
      </c>
      <c r="N342" s="3">
        <v>33500000</v>
      </c>
      <c r="O342" s="3">
        <v>670000</v>
      </c>
      <c r="P342" s="3">
        <v>32830000</v>
      </c>
      <c r="Q342" s="3" t="str">
        <f t="shared" si="41"/>
        <v>Normal</v>
      </c>
      <c r="R342" s="2" t="s">
        <v>38</v>
      </c>
      <c r="S342" s="2" t="s">
        <v>22</v>
      </c>
      <c r="T342" s="2" t="s">
        <v>23</v>
      </c>
      <c r="U342">
        <f t="shared" si="40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4741-52EA-4569-9085-B8253182E2C2}">
  <dimension ref="A1:O342"/>
  <sheetViews>
    <sheetView topLeftCell="E1" workbookViewId="0">
      <selection activeCell="L1" sqref="L1"/>
    </sheetView>
  </sheetViews>
  <sheetFormatPr defaultRowHeight="14.5"/>
  <cols>
    <col min="1" max="1" width="14.90625" customWidth="1"/>
    <col min="2" max="2" width="11.90625" style="6" customWidth="1"/>
    <col min="3" max="3" width="13.7265625" customWidth="1"/>
    <col min="4" max="4" width="15.7265625" customWidth="1"/>
    <col min="5" max="5" width="21.90625" customWidth="1"/>
    <col min="6" max="6" width="14.1796875" customWidth="1"/>
    <col min="7" max="7" width="14.81640625" customWidth="1"/>
    <col min="8" max="8" width="5.81640625" customWidth="1"/>
    <col min="9" max="9" width="10.90625" customWidth="1"/>
    <col min="10" max="10" width="10.1796875" customWidth="1"/>
    <col min="11" max="11" width="11.7265625" customWidth="1"/>
    <col min="12" max="12" width="16.453125" customWidth="1"/>
    <col min="13" max="13" width="19.453125" bestFit="1" customWidth="1"/>
    <col min="14" max="14" width="16" customWidth="1"/>
    <col min="15" max="15" width="14.7265625" bestFit="1" customWidth="1"/>
  </cols>
  <sheetData>
    <row r="1" spans="1:15">
      <c r="A1" t="s">
        <v>0</v>
      </c>
      <c r="B1" s="10" t="s">
        <v>672</v>
      </c>
      <c r="C1" s="7" t="s">
        <v>2</v>
      </c>
      <c r="D1" s="7" t="s">
        <v>3</v>
      </c>
      <c r="E1" s="7" t="s">
        <v>673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668</v>
      </c>
      <c r="M1" t="s">
        <v>11</v>
      </c>
      <c r="N1" t="s">
        <v>12</v>
      </c>
      <c r="O1" t="s">
        <v>13</v>
      </c>
    </row>
    <row r="2" spans="1:15">
      <c r="A2" s="8" t="s">
        <v>14</v>
      </c>
      <c r="B2" s="9">
        <v>46217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>
        <v>1</v>
      </c>
      <c r="I2" s="8">
        <v>33500000</v>
      </c>
      <c r="J2" s="8">
        <v>1675000</v>
      </c>
      <c r="K2" s="8">
        <v>31825000</v>
      </c>
      <c r="L2" s="8" t="s">
        <v>669</v>
      </c>
      <c r="M2" s="8" t="s">
        <v>21</v>
      </c>
      <c r="N2" s="8" t="s">
        <v>22</v>
      </c>
      <c r="O2" s="8" t="s">
        <v>23</v>
      </c>
    </row>
    <row r="3" spans="1:15">
      <c r="A3" s="8" t="s">
        <v>24</v>
      </c>
      <c r="B3" s="9">
        <v>46219</v>
      </c>
      <c r="C3" s="8" t="s">
        <v>26</v>
      </c>
      <c r="D3" s="8" t="s">
        <v>27</v>
      </c>
      <c r="E3" s="8" t="s">
        <v>28</v>
      </c>
      <c r="F3" s="8" t="s">
        <v>19</v>
      </c>
      <c r="G3" s="8" t="s">
        <v>20</v>
      </c>
      <c r="H3" s="8">
        <v>1</v>
      </c>
      <c r="I3" s="8">
        <v>33500000</v>
      </c>
      <c r="J3" s="8">
        <v>1005000</v>
      </c>
      <c r="K3" s="8">
        <v>32495000</v>
      </c>
      <c r="L3" s="8" t="s">
        <v>669</v>
      </c>
      <c r="M3" s="8" t="s">
        <v>29</v>
      </c>
      <c r="N3" s="8" t="s">
        <v>22</v>
      </c>
      <c r="O3" s="8" t="s">
        <v>30</v>
      </c>
    </row>
    <row r="4" spans="1:15">
      <c r="A4" s="8" t="s">
        <v>31</v>
      </c>
      <c r="B4" s="9">
        <v>46218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>
        <v>1</v>
      </c>
      <c r="I4" s="8">
        <v>22300000</v>
      </c>
      <c r="J4" s="8">
        <v>669000</v>
      </c>
      <c r="K4" s="8">
        <v>21631000</v>
      </c>
      <c r="L4" s="8" t="s">
        <v>669</v>
      </c>
      <c r="M4" s="8" t="s">
        <v>38</v>
      </c>
      <c r="N4" s="8" t="s">
        <v>22</v>
      </c>
      <c r="O4" s="8" t="s">
        <v>39</v>
      </c>
    </row>
    <row r="5" spans="1:15">
      <c r="A5" s="8" t="s">
        <v>40</v>
      </c>
      <c r="B5" s="9">
        <v>46218</v>
      </c>
      <c r="C5" s="8" t="s">
        <v>33</v>
      </c>
      <c r="D5" s="8" t="s">
        <v>42</v>
      </c>
      <c r="E5" s="8" t="s">
        <v>43</v>
      </c>
      <c r="F5" s="8" t="s">
        <v>44</v>
      </c>
      <c r="G5" s="8" t="s">
        <v>45</v>
      </c>
      <c r="H5" s="8">
        <v>1</v>
      </c>
      <c r="I5" s="8">
        <v>24600000</v>
      </c>
      <c r="J5" s="8">
        <v>0</v>
      </c>
      <c r="K5" s="8">
        <v>24600000</v>
      </c>
      <c r="L5" s="8" t="s">
        <v>669</v>
      </c>
      <c r="M5" s="8" t="s">
        <v>46</v>
      </c>
      <c r="N5" s="8" t="s">
        <v>22</v>
      </c>
      <c r="O5" s="8" t="s">
        <v>30</v>
      </c>
    </row>
    <row r="6" spans="1:15">
      <c r="A6" s="8" t="s">
        <v>47</v>
      </c>
      <c r="B6" s="9">
        <v>46218</v>
      </c>
      <c r="C6" s="8" t="s">
        <v>48</v>
      </c>
      <c r="D6" s="8" t="s">
        <v>49</v>
      </c>
      <c r="E6" s="8" t="s">
        <v>50</v>
      </c>
      <c r="F6" s="8" t="s">
        <v>51</v>
      </c>
      <c r="G6" s="8" t="s">
        <v>52</v>
      </c>
      <c r="H6" s="8">
        <v>1</v>
      </c>
      <c r="I6" s="8">
        <v>41000000</v>
      </c>
      <c r="J6" s="8">
        <v>0</v>
      </c>
      <c r="K6" s="8">
        <v>41000000</v>
      </c>
      <c r="L6" s="8" t="s">
        <v>669</v>
      </c>
      <c r="M6" s="8" t="s">
        <v>29</v>
      </c>
      <c r="N6" s="8" t="s">
        <v>22</v>
      </c>
      <c r="O6" s="8" t="s">
        <v>30</v>
      </c>
    </row>
    <row r="7" spans="1:15">
      <c r="A7" s="8" t="s">
        <v>53</v>
      </c>
      <c r="B7" s="9">
        <v>46217</v>
      </c>
      <c r="C7" s="8" t="s">
        <v>26</v>
      </c>
      <c r="D7" s="8" t="s">
        <v>54</v>
      </c>
      <c r="E7" s="8" t="s">
        <v>55</v>
      </c>
      <c r="F7" s="8" t="s">
        <v>19</v>
      </c>
      <c r="G7" s="8" t="s">
        <v>20</v>
      </c>
      <c r="H7" s="8">
        <v>1</v>
      </c>
      <c r="I7" s="8">
        <v>33500000</v>
      </c>
      <c r="J7" s="8">
        <v>1005000</v>
      </c>
      <c r="K7" s="8">
        <v>32495000</v>
      </c>
      <c r="L7" s="8" t="s">
        <v>669</v>
      </c>
      <c r="M7" s="8" t="s">
        <v>38</v>
      </c>
      <c r="N7" s="8" t="s">
        <v>22</v>
      </c>
      <c r="O7" s="8" t="s">
        <v>23</v>
      </c>
    </row>
    <row r="8" spans="1:15">
      <c r="A8" s="8" t="s">
        <v>348</v>
      </c>
      <c r="B8" s="9">
        <v>46218</v>
      </c>
      <c r="C8" s="8" t="s">
        <v>182</v>
      </c>
      <c r="D8" s="8" t="s">
        <v>113</v>
      </c>
      <c r="E8" s="8" t="s">
        <v>349</v>
      </c>
      <c r="F8" s="8" t="s">
        <v>68</v>
      </c>
      <c r="G8" s="8" t="s">
        <v>69</v>
      </c>
      <c r="H8" s="8">
        <v>1</v>
      </c>
      <c r="I8" s="8">
        <v>17800000</v>
      </c>
      <c r="J8" s="8">
        <v>534000</v>
      </c>
      <c r="K8" s="8">
        <v>17266000</v>
      </c>
      <c r="L8" s="8" t="s">
        <v>669</v>
      </c>
      <c r="M8" s="8" t="s">
        <v>21</v>
      </c>
      <c r="N8" s="8" t="s">
        <v>22</v>
      </c>
      <c r="O8" s="8" t="s">
        <v>30</v>
      </c>
    </row>
    <row r="9" spans="1:15">
      <c r="A9" s="8" t="s">
        <v>63</v>
      </c>
      <c r="B9" s="9">
        <v>46216</v>
      </c>
      <c r="C9" s="8" t="s">
        <v>65</v>
      </c>
      <c r="D9" s="8" t="s">
        <v>66</v>
      </c>
      <c r="E9" s="8" t="s">
        <v>67</v>
      </c>
      <c r="F9" s="8" t="s">
        <v>68</v>
      </c>
      <c r="G9" s="8" t="s">
        <v>69</v>
      </c>
      <c r="H9" s="8">
        <v>1</v>
      </c>
      <c r="I9" s="8">
        <v>17800000</v>
      </c>
      <c r="J9" s="8">
        <v>890000</v>
      </c>
      <c r="K9" s="8">
        <v>16910000</v>
      </c>
      <c r="L9" s="8" t="s">
        <v>669</v>
      </c>
      <c r="M9" s="8" t="s">
        <v>29</v>
      </c>
      <c r="N9" s="8" t="s">
        <v>22</v>
      </c>
      <c r="O9" s="8" t="s">
        <v>30</v>
      </c>
    </row>
    <row r="10" spans="1:15">
      <c r="A10" s="8" t="s">
        <v>70</v>
      </c>
      <c r="B10" s="9">
        <v>46219</v>
      </c>
      <c r="C10" s="8" t="s">
        <v>71</v>
      </c>
      <c r="D10" s="8" t="s">
        <v>72</v>
      </c>
      <c r="E10" s="8" t="s">
        <v>73</v>
      </c>
      <c r="F10" s="8" t="s">
        <v>19</v>
      </c>
      <c r="G10" s="8" t="s">
        <v>20</v>
      </c>
      <c r="H10" s="8">
        <v>1</v>
      </c>
      <c r="I10" s="8">
        <v>33500000</v>
      </c>
      <c r="J10" s="8">
        <v>670000</v>
      </c>
      <c r="K10" s="8">
        <v>32830000</v>
      </c>
      <c r="L10" s="8" t="s">
        <v>669</v>
      </c>
      <c r="M10" s="8" t="s">
        <v>38</v>
      </c>
      <c r="N10" s="8" t="s">
        <v>22</v>
      </c>
      <c r="O10" s="8" t="s">
        <v>39</v>
      </c>
    </row>
    <row r="11" spans="1:15">
      <c r="A11" s="8" t="s">
        <v>74</v>
      </c>
      <c r="B11" s="9">
        <v>46220</v>
      </c>
      <c r="C11" s="8" t="s">
        <v>33</v>
      </c>
      <c r="D11" s="8" t="s">
        <v>75</v>
      </c>
      <c r="E11" s="8" t="s">
        <v>76</v>
      </c>
      <c r="F11" s="8" t="s">
        <v>19</v>
      </c>
      <c r="G11" s="8" t="s">
        <v>20</v>
      </c>
      <c r="H11" s="8">
        <v>1</v>
      </c>
      <c r="I11" s="8">
        <v>33500000</v>
      </c>
      <c r="J11" s="8">
        <v>335000</v>
      </c>
      <c r="K11" s="8">
        <v>33165000</v>
      </c>
      <c r="L11" s="8" t="s">
        <v>669</v>
      </c>
      <c r="M11" s="8" t="s">
        <v>62</v>
      </c>
      <c r="N11" s="8" t="s">
        <v>22</v>
      </c>
      <c r="O11" s="8" t="s">
        <v>77</v>
      </c>
    </row>
    <row r="12" spans="1:15">
      <c r="A12" s="8" t="s">
        <v>78</v>
      </c>
      <c r="B12" s="9">
        <v>46222</v>
      </c>
      <c r="C12" s="8" t="s">
        <v>16</v>
      </c>
      <c r="D12" s="8" t="s">
        <v>80</v>
      </c>
      <c r="E12" s="8" t="s">
        <v>81</v>
      </c>
      <c r="F12" s="8" t="s">
        <v>51</v>
      </c>
      <c r="G12" s="8" t="s">
        <v>52</v>
      </c>
      <c r="H12" s="8">
        <v>1</v>
      </c>
      <c r="I12" s="8">
        <v>41000000</v>
      </c>
      <c r="J12" s="8">
        <v>0</v>
      </c>
      <c r="K12" s="8">
        <v>41000000</v>
      </c>
      <c r="L12" s="8" t="s">
        <v>669</v>
      </c>
      <c r="M12" s="8" t="s">
        <v>29</v>
      </c>
      <c r="N12" s="8" t="s">
        <v>82</v>
      </c>
      <c r="O12" s="8" t="s">
        <v>23</v>
      </c>
    </row>
    <row r="13" spans="1:15">
      <c r="A13" s="8" t="s">
        <v>83</v>
      </c>
      <c r="B13" s="9">
        <v>46218</v>
      </c>
      <c r="C13" s="8" t="s">
        <v>85</v>
      </c>
      <c r="D13" s="8" t="s">
        <v>80</v>
      </c>
      <c r="E13" s="8" t="s">
        <v>86</v>
      </c>
      <c r="F13" s="8" t="s">
        <v>19</v>
      </c>
      <c r="G13" s="8" t="s">
        <v>20</v>
      </c>
      <c r="H13" s="8">
        <v>1</v>
      </c>
      <c r="I13" s="8">
        <v>33500000</v>
      </c>
      <c r="J13" s="8">
        <v>1005000</v>
      </c>
      <c r="K13" s="8">
        <v>32495000</v>
      </c>
      <c r="L13" s="8" t="s">
        <v>669</v>
      </c>
      <c r="M13" s="8" t="s">
        <v>29</v>
      </c>
      <c r="N13" s="8" t="s">
        <v>87</v>
      </c>
      <c r="O13" s="8" t="s">
        <v>39</v>
      </c>
    </row>
    <row r="14" spans="1:15">
      <c r="A14" s="8" t="s">
        <v>88</v>
      </c>
      <c r="B14" s="9">
        <v>46219</v>
      </c>
      <c r="C14" s="8" t="s">
        <v>71</v>
      </c>
      <c r="D14" s="8" t="s">
        <v>54</v>
      </c>
      <c r="E14" s="8" t="s">
        <v>90</v>
      </c>
      <c r="F14" s="8" t="s">
        <v>91</v>
      </c>
      <c r="G14" s="8" t="s">
        <v>92</v>
      </c>
      <c r="H14" s="8">
        <v>1</v>
      </c>
      <c r="I14" s="8">
        <v>26900000</v>
      </c>
      <c r="J14" s="8">
        <v>807000</v>
      </c>
      <c r="K14" s="8">
        <v>26093000</v>
      </c>
      <c r="L14" s="8" t="s">
        <v>669</v>
      </c>
      <c r="M14" s="8" t="s">
        <v>62</v>
      </c>
      <c r="N14" s="8" t="s">
        <v>22</v>
      </c>
      <c r="O14" s="8" t="s">
        <v>30</v>
      </c>
    </row>
    <row r="15" spans="1:15">
      <c r="A15" s="8" t="s">
        <v>93</v>
      </c>
      <c r="B15" s="9">
        <v>46218</v>
      </c>
      <c r="C15" s="8" t="s">
        <v>48</v>
      </c>
      <c r="D15" s="8" t="s">
        <v>94</v>
      </c>
      <c r="E15" s="8" t="s">
        <v>95</v>
      </c>
      <c r="F15" s="8" t="s">
        <v>19</v>
      </c>
      <c r="G15" s="8" t="s">
        <v>20</v>
      </c>
      <c r="H15" s="8">
        <v>1</v>
      </c>
      <c r="I15" s="8">
        <v>33500000</v>
      </c>
      <c r="J15" s="8">
        <v>1005000</v>
      </c>
      <c r="K15" s="8">
        <v>32495000</v>
      </c>
      <c r="L15" s="8" t="s">
        <v>669</v>
      </c>
      <c r="M15" s="8" t="s">
        <v>62</v>
      </c>
      <c r="N15" s="8" t="s">
        <v>82</v>
      </c>
      <c r="O15" s="8" t="s">
        <v>30</v>
      </c>
    </row>
    <row r="16" spans="1:15">
      <c r="A16" s="8" t="s">
        <v>96</v>
      </c>
      <c r="B16" s="9">
        <v>46217</v>
      </c>
      <c r="C16" s="8" t="s">
        <v>97</v>
      </c>
      <c r="D16" s="8" t="s">
        <v>98</v>
      </c>
      <c r="E16" s="8" t="s">
        <v>28</v>
      </c>
      <c r="F16" s="8" t="s">
        <v>99</v>
      </c>
      <c r="G16" s="8" t="s">
        <v>100</v>
      </c>
      <c r="H16" s="8">
        <v>1</v>
      </c>
      <c r="I16" s="8">
        <v>29800000</v>
      </c>
      <c r="J16" s="8">
        <v>0</v>
      </c>
      <c r="K16" s="8">
        <v>29800000</v>
      </c>
      <c r="L16" s="8" t="s">
        <v>669</v>
      </c>
      <c r="M16" s="8" t="s">
        <v>21</v>
      </c>
      <c r="N16" s="8" t="s">
        <v>22</v>
      </c>
      <c r="O16" s="8" t="s">
        <v>77</v>
      </c>
    </row>
    <row r="17" spans="1:15">
      <c r="A17" s="8" t="s">
        <v>101</v>
      </c>
      <c r="B17" s="9">
        <v>46221</v>
      </c>
      <c r="C17" s="8" t="s">
        <v>16</v>
      </c>
      <c r="D17" s="8" t="s">
        <v>17</v>
      </c>
      <c r="E17" s="8" t="s">
        <v>103</v>
      </c>
      <c r="F17" s="8" t="s">
        <v>60</v>
      </c>
      <c r="G17" s="8" t="s">
        <v>61</v>
      </c>
      <c r="H17" s="8">
        <v>1</v>
      </c>
      <c r="I17" s="8">
        <v>21500000</v>
      </c>
      <c r="J17" s="8">
        <v>645000</v>
      </c>
      <c r="K17" s="8">
        <v>20855000</v>
      </c>
      <c r="L17" s="8" t="s">
        <v>669</v>
      </c>
      <c r="M17" s="8" t="s">
        <v>21</v>
      </c>
      <c r="N17" s="8" t="s">
        <v>22</v>
      </c>
      <c r="O17" s="8" t="s">
        <v>23</v>
      </c>
    </row>
    <row r="18" spans="1:15">
      <c r="A18" s="8" t="s">
        <v>104</v>
      </c>
      <c r="B18" s="9">
        <v>46216</v>
      </c>
      <c r="C18" s="8" t="s">
        <v>71</v>
      </c>
      <c r="D18" s="8" t="s">
        <v>94</v>
      </c>
      <c r="E18" s="8" t="s">
        <v>106</v>
      </c>
      <c r="F18" s="8" t="s">
        <v>68</v>
      </c>
      <c r="G18" s="8" t="s">
        <v>69</v>
      </c>
      <c r="H18" s="8">
        <v>1</v>
      </c>
      <c r="I18" s="8">
        <v>17800000</v>
      </c>
      <c r="J18" s="8">
        <v>0</v>
      </c>
      <c r="K18" s="8">
        <v>17800000</v>
      </c>
      <c r="L18" s="8" t="s">
        <v>669</v>
      </c>
      <c r="M18" s="8" t="s">
        <v>38</v>
      </c>
      <c r="N18" s="8" t="s">
        <v>22</v>
      </c>
      <c r="O18" s="8" t="s">
        <v>30</v>
      </c>
    </row>
    <row r="19" spans="1:15">
      <c r="A19" s="8" t="s">
        <v>110</v>
      </c>
      <c r="B19" s="9">
        <v>46217</v>
      </c>
      <c r="C19" s="8" t="s">
        <v>112</v>
      </c>
      <c r="D19" s="8" t="s">
        <v>113</v>
      </c>
      <c r="E19" s="8" t="s">
        <v>114</v>
      </c>
      <c r="F19" s="8" t="s">
        <v>99</v>
      </c>
      <c r="G19" s="8" t="s">
        <v>100</v>
      </c>
      <c r="H19" s="8">
        <v>1</v>
      </c>
      <c r="I19" s="8">
        <v>29800000</v>
      </c>
      <c r="J19" s="8">
        <v>1490000</v>
      </c>
      <c r="K19" s="8">
        <v>28310000</v>
      </c>
      <c r="L19" s="8" t="s">
        <v>669</v>
      </c>
      <c r="M19" s="8" t="s">
        <v>38</v>
      </c>
      <c r="N19" s="8" t="s">
        <v>22</v>
      </c>
      <c r="O19" s="8" t="s">
        <v>77</v>
      </c>
    </row>
    <row r="20" spans="1:15">
      <c r="A20" s="8" t="s">
        <v>115</v>
      </c>
      <c r="B20" s="9">
        <v>46220</v>
      </c>
      <c r="C20" s="8" t="s">
        <v>16</v>
      </c>
      <c r="D20" s="8" t="s">
        <v>113</v>
      </c>
      <c r="E20" s="8" t="s">
        <v>116</v>
      </c>
      <c r="F20" s="8" t="s">
        <v>60</v>
      </c>
      <c r="G20" s="8" t="s">
        <v>61</v>
      </c>
      <c r="H20" s="8">
        <v>2</v>
      </c>
      <c r="I20" s="8">
        <v>21500000</v>
      </c>
      <c r="J20" s="8">
        <v>2150000</v>
      </c>
      <c r="K20" s="8">
        <v>40850000</v>
      </c>
      <c r="L20" s="8" t="s">
        <v>669</v>
      </c>
      <c r="M20" s="8" t="s">
        <v>38</v>
      </c>
      <c r="N20" s="8" t="s">
        <v>22</v>
      </c>
      <c r="O20" s="8" t="s">
        <v>77</v>
      </c>
    </row>
    <row r="21" spans="1:15">
      <c r="A21" s="8" t="s">
        <v>117</v>
      </c>
      <c r="B21" s="9">
        <v>46217</v>
      </c>
      <c r="C21" s="8" t="s">
        <v>48</v>
      </c>
      <c r="D21" s="8" t="s">
        <v>42</v>
      </c>
      <c r="E21" s="8" t="s">
        <v>118</v>
      </c>
      <c r="F21" s="8" t="s">
        <v>91</v>
      </c>
      <c r="G21" s="8" t="s">
        <v>92</v>
      </c>
      <c r="H21" s="8">
        <v>1</v>
      </c>
      <c r="I21" s="8">
        <v>26900000</v>
      </c>
      <c r="J21" s="8">
        <v>269000</v>
      </c>
      <c r="K21" s="8">
        <v>26631000</v>
      </c>
      <c r="L21" s="8" t="s">
        <v>669</v>
      </c>
      <c r="M21" s="8" t="s">
        <v>29</v>
      </c>
      <c r="N21" s="8" t="s">
        <v>22</v>
      </c>
      <c r="O21" s="8" t="s">
        <v>39</v>
      </c>
    </row>
    <row r="22" spans="1:15">
      <c r="A22" s="8" t="s">
        <v>119</v>
      </c>
      <c r="B22" s="9">
        <v>46218</v>
      </c>
      <c r="C22" s="8" t="s">
        <v>97</v>
      </c>
      <c r="D22" s="8" t="s">
        <v>42</v>
      </c>
      <c r="E22" s="8" t="s">
        <v>120</v>
      </c>
      <c r="F22" s="8" t="s">
        <v>51</v>
      </c>
      <c r="G22" s="8" t="s">
        <v>52</v>
      </c>
      <c r="H22" s="8">
        <v>1</v>
      </c>
      <c r="I22" s="8">
        <v>41000000</v>
      </c>
      <c r="J22" s="8">
        <v>820000</v>
      </c>
      <c r="K22" s="8">
        <v>40180000</v>
      </c>
      <c r="L22" s="8" t="s">
        <v>669</v>
      </c>
      <c r="M22" s="8" t="s">
        <v>46</v>
      </c>
      <c r="N22" s="8" t="s">
        <v>22</v>
      </c>
      <c r="O22" s="8" t="s">
        <v>39</v>
      </c>
    </row>
    <row r="23" spans="1:15">
      <c r="A23" s="8" t="s">
        <v>121</v>
      </c>
      <c r="B23" s="9">
        <v>46220</v>
      </c>
      <c r="C23" s="8" t="s">
        <v>71</v>
      </c>
      <c r="D23" s="8" t="s">
        <v>49</v>
      </c>
      <c r="E23" s="8" t="s">
        <v>123</v>
      </c>
      <c r="F23" s="8" t="s">
        <v>60</v>
      </c>
      <c r="G23" s="8" t="s">
        <v>61</v>
      </c>
      <c r="H23" s="8">
        <v>1</v>
      </c>
      <c r="I23" s="8">
        <v>21500000</v>
      </c>
      <c r="J23" s="8">
        <v>430000</v>
      </c>
      <c r="K23" s="8">
        <v>21070000</v>
      </c>
      <c r="L23" s="8" t="s">
        <v>669</v>
      </c>
      <c r="M23" s="8" t="s">
        <v>38</v>
      </c>
      <c r="N23" s="8" t="s">
        <v>22</v>
      </c>
      <c r="O23" s="8" t="s">
        <v>39</v>
      </c>
    </row>
    <row r="24" spans="1:15">
      <c r="A24" s="8" t="s">
        <v>124</v>
      </c>
      <c r="B24" s="9">
        <v>46219</v>
      </c>
      <c r="C24" s="8" t="s">
        <v>65</v>
      </c>
      <c r="D24" s="8" t="s">
        <v>126</v>
      </c>
      <c r="E24" s="8" t="s">
        <v>127</v>
      </c>
      <c r="F24" s="8" t="s">
        <v>99</v>
      </c>
      <c r="G24" s="8" t="s">
        <v>100</v>
      </c>
      <c r="H24" s="8">
        <v>1</v>
      </c>
      <c r="I24" s="8">
        <v>29800000</v>
      </c>
      <c r="J24" s="8">
        <v>0</v>
      </c>
      <c r="K24" s="8">
        <v>29800000</v>
      </c>
      <c r="L24" s="8" t="s">
        <v>669</v>
      </c>
      <c r="M24" s="8" t="s">
        <v>38</v>
      </c>
      <c r="N24" s="8" t="s">
        <v>82</v>
      </c>
      <c r="O24" s="8" t="s">
        <v>30</v>
      </c>
    </row>
    <row r="25" spans="1:15">
      <c r="A25" s="8" t="s">
        <v>128</v>
      </c>
      <c r="B25" s="9">
        <v>46221</v>
      </c>
      <c r="C25" s="8" t="s">
        <v>112</v>
      </c>
      <c r="D25" s="8" t="s">
        <v>98</v>
      </c>
      <c r="E25" s="8" t="s">
        <v>35</v>
      </c>
      <c r="F25" s="8" t="s">
        <v>99</v>
      </c>
      <c r="G25" s="8" t="s">
        <v>100</v>
      </c>
      <c r="H25" s="8">
        <v>1</v>
      </c>
      <c r="I25" s="8">
        <v>29800000</v>
      </c>
      <c r="J25" s="8">
        <v>0</v>
      </c>
      <c r="K25" s="8">
        <v>29800000</v>
      </c>
      <c r="L25" s="8" t="s">
        <v>669</v>
      </c>
      <c r="M25" s="8" t="s">
        <v>29</v>
      </c>
      <c r="N25" s="8" t="s">
        <v>22</v>
      </c>
      <c r="O25" s="8" t="s">
        <v>23</v>
      </c>
    </row>
    <row r="26" spans="1:15">
      <c r="A26" s="8" t="s">
        <v>129</v>
      </c>
      <c r="B26" s="9">
        <v>46216</v>
      </c>
      <c r="C26" s="8" t="s">
        <v>71</v>
      </c>
      <c r="D26" s="8" t="s">
        <v>130</v>
      </c>
      <c r="E26" s="8" t="s">
        <v>131</v>
      </c>
      <c r="F26" s="8" t="s">
        <v>68</v>
      </c>
      <c r="G26" s="8" t="s">
        <v>69</v>
      </c>
      <c r="H26" s="8">
        <v>1</v>
      </c>
      <c r="I26" s="8">
        <v>17800000</v>
      </c>
      <c r="J26" s="8">
        <v>534000</v>
      </c>
      <c r="K26" s="8">
        <v>17266000</v>
      </c>
      <c r="L26" s="8" t="s">
        <v>669</v>
      </c>
      <c r="M26" s="8" t="s">
        <v>21</v>
      </c>
      <c r="N26" s="8" t="s">
        <v>22</v>
      </c>
      <c r="O26" s="8" t="s">
        <v>77</v>
      </c>
    </row>
    <row r="27" spans="1:15">
      <c r="A27" s="8" t="s">
        <v>132</v>
      </c>
      <c r="B27" s="9">
        <v>46220</v>
      </c>
      <c r="C27" s="8" t="s">
        <v>71</v>
      </c>
      <c r="D27" s="8" t="s">
        <v>17</v>
      </c>
      <c r="E27" s="8" t="s">
        <v>133</v>
      </c>
      <c r="F27" s="8" t="s">
        <v>19</v>
      </c>
      <c r="G27" s="8" t="s">
        <v>20</v>
      </c>
      <c r="H27" s="8">
        <v>1</v>
      </c>
      <c r="I27" s="8">
        <v>33500000</v>
      </c>
      <c r="J27" s="8">
        <v>1005000</v>
      </c>
      <c r="K27" s="8">
        <v>32495000</v>
      </c>
      <c r="L27" s="8" t="s">
        <v>669</v>
      </c>
      <c r="M27" s="8" t="s">
        <v>21</v>
      </c>
      <c r="N27" s="8" t="s">
        <v>22</v>
      </c>
      <c r="O27" s="8" t="s">
        <v>39</v>
      </c>
    </row>
    <row r="28" spans="1:15">
      <c r="A28" s="8" t="s">
        <v>134</v>
      </c>
      <c r="B28" s="9">
        <v>46219</v>
      </c>
      <c r="C28" s="8" t="s">
        <v>97</v>
      </c>
      <c r="D28" s="8" t="s">
        <v>113</v>
      </c>
      <c r="E28" s="8" t="s">
        <v>136</v>
      </c>
      <c r="F28" s="8" t="s">
        <v>68</v>
      </c>
      <c r="G28" s="8" t="s">
        <v>69</v>
      </c>
      <c r="H28" s="8">
        <v>1</v>
      </c>
      <c r="I28" s="8">
        <v>17800000</v>
      </c>
      <c r="J28" s="8">
        <v>356000</v>
      </c>
      <c r="K28" s="8">
        <v>17444000</v>
      </c>
      <c r="L28" s="8" t="s">
        <v>669</v>
      </c>
      <c r="M28" s="8" t="s">
        <v>21</v>
      </c>
      <c r="N28" s="8" t="s">
        <v>22</v>
      </c>
      <c r="O28" s="8" t="s">
        <v>39</v>
      </c>
    </row>
    <row r="29" spans="1:15">
      <c r="A29" s="8" t="s">
        <v>137</v>
      </c>
      <c r="B29" s="9">
        <v>46221</v>
      </c>
      <c r="C29" s="8" t="s">
        <v>112</v>
      </c>
      <c r="D29" s="8" t="s">
        <v>75</v>
      </c>
      <c r="E29" s="8" t="s">
        <v>138</v>
      </c>
      <c r="F29" s="8" t="s">
        <v>99</v>
      </c>
      <c r="G29" s="8" t="s">
        <v>100</v>
      </c>
      <c r="H29" s="8">
        <v>1</v>
      </c>
      <c r="I29" s="8">
        <v>29800000</v>
      </c>
      <c r="J29" s="8">
        <v>0</v>
      </c>
      <c r="K29" s="8">
        <v>29800000</v>
      </c>
      <c r="L29" s="8" t="s">
        <v>669</v>
      </c>
      <c r="M29" s="8" t="s">
        <v>62</v>
      </c>
      <c r="N29" s="8" t="s">
        <v>22</v>
      </c>
      <c r="O29" s="8" t="s">
        <v>30</v>
      </c>
    </row>
    <row r="30" spans="1:15">
      <c r="A30" s="8" t="s">
        <v>139</v>
      </c>
      <c r="B30" s="9">
        <v>46222</v>
      </c>
      <c r="C30" s="8" t="s">
        <v>85</v>
      </c>
      <c r="D30" s="8" t="s">
        <v>113</v>
      </c>
      <c r="E30" s="8" t="s">
        <v>141</v>
      </c>
      <c r="F30" s="8" t="s">
        <v>142</v>
      </c>
      <c r="G30" s="8" t="s">
        <v>143</v>
      </c>
      <c r="H30" s="8">
        <v>1</v>
      </c>
      <c r="I30" s="8">
        <v>18900000</v>
      </c>
      <c r="J30" s="8">
        <v>378000</v>
      </c>
      <c r="K30" s="8">
        <v>18522000</v>
      </c>
      <c r="L30" s="8" t="s">
        <v>669</v>
      </c>
      <c r="M30" s="8" t="s">
        <v>62</v>
      </c>
      <c r="N30" s="8" t="s">
        <v>22</v>
      </c>
      <c r="O30" s="8" t="s">
        <v>23</v>
      </c>
    </row>
    <row r="31" spans="1:15">
      <c r="A31" s="8" t="s">
        <v>144</v>
      </c>
      <c r="B31" s="9">
        <v>46217</v>
      </c>
      <c r="C31" s="8" t="s">
        <v>26</v>
      </c>
      <c r="D31" s="8" t="s">
        <v>145</v>
      </c>
      <c r="E31" s="8" t="s">
        <v>146</v>
      </c>
      <c r="F31" s="8" t="s">
        <v>19</v>
      </c>
      <c r="G31" s="8" t="s">
        <v>20</v>
      </c>
      <c r="H31" s="8">
        <v>1</v>
      </c>
      <c r="I31" s="8">
        <v>33500000</v>
      </c>
      <c r="J31" s="8">
        <v>1005000</v>
      </c>
      <c r="K31" s="8">
        <v>32495000</v>
      </c>
      <c r="L31" s="8" t="s">
        <v>669</v>
      </c>
      <c r="M31" s="8" t="s">
        <v>21</v>
      </c>
      <c r="N31" s="8" t="s">
        <v>22</v>
      </c>
      <c r="O31" s="8" t="s">
        <v>39</v>
      </c>
    </row>
    <row r="32" spans="1:15">
      <c r="A32" s="8" t="s">
        <v>147</v>
      </c>
      <c r="B32" s="9">
        <v>46217</v>
      </c>
      <c r="C32" s="8" t="s">
        <v>148</v>
      </c>
      <c r="D32" s="8" t="s">
        <v>17</v>
      </c>
      <c r="E32" s="8" t="s">
        <v>149</v>
      </c>
      <c r="F32" s="8" t="s">
        <v>68</v>
      </c>
      <c r="G32" s="8" t="s">
        <v>69</v>
      </c>
      <c r="H32" s="8">
        <v>1</v>
      </c>
      <c r="I32" s="8">
        <v>17800000</v>
      </c>
      <c r="J32" s="8">
        <v>356000</v>
      </c>
      <c r="K32" s="8">
        <v>17444000</v>
      </c>
      <c r="L32" s="8" t="s">
        <v>669</v>
      </c>
      <c r="M32" s="8" t="s">
        <v>29</v>
      </c>
      <c r="N32" s="8" t="s">
        <v>22</v>
      </c>
      <c r="O32" s="8" t="s">
        <v>77</v>
      </c>
    </row>
    <row r="33" spans="1:15">
      <c r="A33" s="8" t="s">
        <v>150</v>
      </c>
      <c r="B33" s="9">
        <v>46221</v>
      </c>
      <c r="C33" s="8" t="s">
        <v>148</v>
      </c>
      <c r="D33" s="8" t="s">
        <v>54</v>
      </c>
      <c r="E33" s="8" t="s">
        <v>151</v>
      </c>
      <c r="F33" s="8" t="s">
        <v>152</v>
      </c>
      <c r="G33" s="8" t="s">
        <v>153</v>
      </c>
      <c r="H33" s="8">
        <v>1</v>
      </c>
      <c r="I33" s="8">
        <v>27400000</v>
      </c>
      <c r="J33" s="8">
        <v>1370000</v>
      </c>
      <c r="K33" s="8">
        <v>26030000</v>
      </c>
      <c r="L33" s="8" t="s">
        <v>669</v>
      </c>
      <c r="M33" s="8" t="s">
        <v>29</v>
      </c>
      <c r="N33" s="8" t="s">
        <v>22</v>
      </c>
      <c r="O33" s="8" t="s">
        <v>39</v>
      </c>
    </row>
    <row r="34" spans="1:15">
      <c r="A34" s="8" t="s">
        <v>154</v>
      </c>
      <c r="B34" s="9">
        <v>46219</v>
      </c>
      <c r="C34" s="8" t="s">
        <v>155</v>
      </c>
      <c r="D34" s="8" t="s">
        <v>66</v>
      </c>
      <c r="E34" s="8" t="s">
        <v>156</v>
      </c>
      <c r="F34" s="8" t="s">
        <v>60</v>
      </c>
      <c r="G34" s="8" t="s">
        <v>61</v>
      </c>
      <c r="H34" s="8">
        <v>1</v>
      </c>
      <c r="I34" s="8">
        <v>21500000</v>
      </c>
      <c r="J34" s="8">
        <v>215000</v>
      </c>
      <c r="K34" s="8">
        <v>21285000</v>
      </c>
      <c r="L34" s="8" t="s">
        <v>669</v>
      </c>
      <c r="M34" s="8" t="s">
        <v>46</v>
      </c>
      <c r="N34" s="8" t="s">
        <v>22</v>
      </c>
      <c r="O34" s="8" t="s">
        <v>30</v>
      </c>
    </row>
    <row r="35" spans="1:15">
      <c r="A35" s="8" t="s">
        <v>157</v>
      </c>
      <c r="B35" s="9">
        <v>46220</v>
      </c>
      <c r="C35" s="8" t="s">
        <v>148</v>
      </c>
      <c r="D35" s="8" t="s">
        <v>34</v>
      </c>
      <c r="E35" s="8" t="s">
        <v>158</v>
      </c>
      <c r="F35" s="8" t="s">
        <v>36</v>
      </c>
      <c r="G35" s="8" t="s">
        <v>37</v>
      </c>
      <c r="H35" s="8">
        <v>1</v>
      </c>
      <c r="I35" s="8">
        <v>22300000</v>
      </c>
      <c r="J35" s="8">
        <v>0</v>
      </c>
      <c r="K35" s="8">
        <v>22300000</v>
      </c>
      <c r="L35" s="8" t="s">
        <v>669</v>
      </c>
      <c r="M35" s="8" t="s">
        <v>29</v>
      </c>
      <c r="N35" s="8" t="s">
        <v>82</v>
      </c>
      <c r="O35" s="8" t="s">
        <v>30</v>
      </c>
    </row>
    <row r="36" spans="1:15">
      <c r="A36" s="8" t="s">
        <v>159</v>
      </c>
      <c r="B36" s="9">
        <v>46218</v>
      </c>
      <c r="C36" s="8" t="s">
        <v>97</v>
      </c>
      <c r="D36" s="8" t="s">
        <v>94</v>
      </c>
      <c r="E36" s="8" t="s">
        <v>160</v>
      </c>
      <c r="F36" s="8" t="s">
        <v>19</v>
      </c>
      <c r="G36" s="8" t="s">
        <v>20</v>
      </c>
      <c r="H36" s="8">
        <v>1</v>
      </c>
      <c r="I36" s="8">
        <v>33500000</v>
      </c>
      <c r="J36" s="8">
        <v>670000</v>
      </c>
      <c r="K36" s="8">
        <v>32830000</v>
      </c>
      <c r="L36" s="8" t="s">
        <v>669</v>
      </c>
      <c r="M36" s="8" t="s">
        <v>38</v>
      </c>
      <c r="N36" s="8" t="s">
        <v>22</v>
      </c>
      <c r="O36" s="8" t="s">
        <v>30</v>
      </c>
    </row>
    <row r="37" spans="1:15">
      <c r="A37" s="8" t="s">
        <v>161</v>
      </c>
      <c r="B37" s="9">
        <v>46221</v>
      </c>
      <c r="C37" s="8" t="s">
        <v>33</v>
      </c>
      <c r="D37" s="8" t="s">
        <v>72</v>
      </c>
      <c r="E37" s="8" t="s">
        <v>163</v>
      </c>
      <c r="F37" s="8" t="s">
        <v>91</v>
      </c>
      <c r="G37" s="8" t="s">
        <v>92</v>
      </c>
      <c r="H37" s="8">
        <v>1</v>
      </c>
      <c r="I37" s="8">
        <v>26900000</v>
      </c>
      <c r="J37" s="8">
        <v>1345000</v>
      </c>
      <c r="K37" s="8">
        <v>25555000</v>
      </c>
      <c r="L37" s="8" t="s">
        <v>669</v>
      </c>
      <c r="M37" s="8" t="s">
        <v>38</v>
      </c>
      <c r="N37" s="8" t="s">
        <v>22</v>
      </c>
      <c r="O37" s="8" t="s">
        <v>77</v>
      </c>
    </row>
    <row r="38" spans="1:15">
      <c r="A38" s="8" t="s">
        <v>164</v>
      </c>
      <c r="B38" s="9">
        <v>46216</v>
      </c>
      <c r="C38" s="8" t="s">
        <v>48</v>
      </c>
      <c r="D38" s="8" t="s">
        <v>58</v>
      </c>
      <c r="E38" s="8" t="s">
        <v>165</v>
      </c>
      <c r="F38" s="8" t="s">
        <v>142</v>
      </c>
      <c r="G38" s="8" t="s">
        <v>143</v>
      </c>
      <c r="H38" s="8">
        <v>1</v>
      </c>
      <c r="I38" s="8">
        <v>18900000</v>
      </c>
      <c r="J38" s="8">
        <v>0</v>
      </c>
      <c r="K38" s="8">
        <v>18900000</v>
      </c>
      <c r="L38" s="8" t="s">
        <v>669</v>
      </c>
      <c r="M38" s="8" t="s">
        <v>46</v>
      </c>
      <c r="N38" s="8" t="s">
        <v>22</v>
      </c>
      <c r="O38" s="8" t="s">
        <v>39</v>
      </c>
    </row>
    <row r="39" spans="1:15">
      <c r="A39" s="8" t="s">
        <v>166</v>
      </c>
      <c r="B39" s="9">
        <v>46222</v>
      </c>
      <c r="C39" s="8" t="s">
        <v>148</v>
      </c>
      <c r="D39" s="8" t="s">
        <v>168</v>
      </c>
      <c r="E39" s="8" t="s">
        <v>169</v>
      </c>
      <c r="F39" s="8" t="s">
        <v>91</v>
      </c>
      <c r="G39" s="8" t="s">
        <v>92</v>
      </c>
      <c r="H39" s="8">
        <v>1</v>
      </c>
      <c r="I39" s="8">
        <v>26900000</v>
      </c>
      <c r="J39" s="8">
        <v>0</v>
      </c>
      <c r="K39" s="8">
        <v>26900000</v>
      </c>
      <c r="L39" s="8" t="s">
        <v>669</v>
      </c>
      <c r="M39" s="8" t="s">
        <v>62</v>
      </c>
      <c r="N39" s="8" t="s">
        <v>22</v>
      </c>
      <c r="O39" s="8" t="s">
        <v>77</v>
      </c>
    </row>
    <row r="40" spans="1:15">
      <c r="A40" s="8" t="s">
        <v>170</v>
      </c>
      <c r="B40" s="9">
        <v>46222</v>
      </c>
      <c r="C40" s="8" t="s">
        <v>65</v>
      </c>
      <c r="D40" s="8" t="s">
        <v>168</v>
      </c>
      <c r="E40" s="8" t="s">
        <v>171</v>
      </c>
      <c r="F40" s="8" t="s">
        <v>99</v>
      </c>
      <c r="G40" s="8" t="s">
        <v>100</v>
      </c>
      <c r="H40" s="8">
        <v>1</v>
      </c>
      <c r="I40" s="8">
        <v>29800000</v>
      </c>
      <c r="J40" s="8">
        <v>0</v>
      </c>
      <c r="K40" s="8">
        <v>29800000</v>
      </c>
      <c r="L40" s="8" t="s">
        <v>669</v>
      </c>
      <c r="M40" s="8" t="s">
        <v>29</v>
      </c>
      <c r="N40" s="8" t="s">
        <v>22</v>
      </c>
      <c r="O40" s="8" t="s">
        <v>39</v>
      </c>
    </row>
    <row r="41" spans="1:15">
      <c r="A41" s="8" t="s">
        <v>172</v>
      </c>
      <c r="B41" s="9">
        <v>46220</v>
      </c>
      <c r="C41" s="8" t="s">
        <v>71</v>
      </c>
      <c r="D41" s="8" t="s">
        <v>80</v>
      </c>
      <c r="E41" s="8" t="s">
        <v>43</v>
      </c>
      <c r="F41" s="8" t="s">
        <v>19</v>
      </c>
      <c r="G41" s="8" t="s">
        <v>20</v>
      </c>
      <c r="H41" s="8">
        <v>1</v>
      </c>
      <c r="I41" s="8">
        <v>33500000</v>
      </c>
      <c r="J41" s="8">
        <v>0</v>
      </c>
      <c r="K41" s="8">
        <v>33500000</v>
      </c>
      <c r="L41" s="8" t="s">
        <v>669</v>
      </c>
      <c r="M41" s="8" t="s">
        <v>62</v>
      </c>
      <c r="N41" s="8" t="s">
        <v>22</v>
      </c>
      <c r="O41" s="8" t="s">
        <v>39</v>
      </c>
    </row>
    <row r="42" spans="1:15">
      <c r="A42" s="8" t="s">
        <v>173</v>
      </c>
      <c r="B42" s="9">
        <v>46217</v>
      </c>
      <c r="C42" s="8" t="s">
        <v>26</v>
      </c>
      <c r="D42" s="8" t="s">
        <v>17</v>
      </c>
      <c r="E42" s="8" t="s">
        <v>174</v>
      </c>
      <c r="F42" s="8" t="s">
        <v>44</v>
      </c>
      <c r="G42" s="8" t="s">
        <v>45</v>
      </c>
      <c r="H42" s="8">
        <v>1</v>
      </c>
      <c r="I42" s="8">
        <v>24600000</v>
      </c>
      <c r="J42" s="8">
        <v>738000</v>
      </c>
      <c r="K42" s="8">
        <v>23862000</v>
      </c>
      <c r="L42" s="8" t="s">
        <v>669</v>
      </c>
      <c r="M42" s="8" t="s">
        <v>62</v>
      </c>
      <c r="N42" s="8" t="s">
        <v>22</v>
      </c>
      <c r="O42" s="8" t="s">
        <v>39</v>
      </c>
    </row>
    <row r="43" spans="1:15">
      <c r="A43" s="8" t="s">
        <v>175</v>
      </c>
      <c r="B43" s="9">
        <v>46221</v>
      </c>
      <c r="C43" s="8" t="s">
        <v>26</v>
      </c>
      <c r="D43" s="8" t="s">
        <v>80</v>
      </c>
      <c r="E43" s="8" t="s">
        <v>176</v>
      </c>
      <c r="F43" s="8" t="s">
        <v>142</v>
      </c>
      <c r="G43" s="8" t="s">
        <v>143</v>
      </c>
      <c r="H43" s="8">
        <v>1</v>
      </c>
      <c r="I43" s="8">
        <v>18900000</v>
      </c>
      <c r="J43" s="8">
        <v>945000</v>
      </c>
      <c r="K43" s="8">
        <v>17955000</v>
      </c>
      <c r="L43" s="8" t="s">
        <v>669</v>
      </c>
      <c r="M43" s="8" t="s">
        <v>21</v>
      </c>
      <c r="N43" s="8" t="s">
        <v>22</v>
      </c>
      <c r="O43" s="8" t="s">
        <v>77</v>
      </c>
    </row>
    <row r="44" spans="1:15">
      <c r="A44" s="8" t="s">
        <v>177</v>
      </c>
      <c r="B44" s="9">
        <v>46222</v>
      </c>
      <c r="C44" s="8" t="s">
        <v>48</v>
      </c>
      <c r="D44" s="8" t="s">
        <v>17</v>
      </c>
      <c r="E44" s="8" t="s">
        <v>178</v>
      </c>
      <c r="F44" s="8" t="s">
        <v>99</v>
      </c>
      <c r="G44" s="8" t="s">
        <v>100</v>
      </c>
      <c r="H44" s="8">
        <v>1</v>
      </c>
      <c r="I44" s="8">
        <v>29800000</v>
      </c>
      <c r="J44" s="8">
        <v>894000</v>
      </c>
      <c r="K44" s="8">
        <v>28906000</v>
      </c>
      <c r="L44" s="8" t="s">
        <v>669</v>
      </c>
      <c r="M44" s="8" t="s">
        <v>46</v>
      </c>
      <c r="N44" s="8" t="s">
        <v>87</v>
      </c>
      <c r="O44" s="8" t="s">
        <v>39</v>
      </c>
    </row>
    <row r="45" spans="1:15">
      <c r="A45" s="8" t="s">
        <v>179</v>
      </c>
      <c r="B45" s="9">
        <v>46219</v>
      </c>
      <c r="C45" s="8" t="s">
        <v>85</v>
      </c>
      <c r="D45" s="8" t="s">
        <v>72</v>
      </c>
      <c r="E45" s="8" t="s">
        <v>180</v>
      </c>
      <c r="F45" s="8" t="s">
        <v>99</v>
      </c>
      <c r="G45" s="8" t="s">
        <v>100</v>
      </c>
      <c r="H45" s="8">
        <v>1</v>
      </c>
      <c r="I45" s="8">
        <v>29800000</v>
      </c>
      <c r="J45" s="8">
        <v>1490000</v>
      </c>
      <c r="K45" s="8">
        <v>28310000</v>
      </c>
      <c r="L45" s="8" t="s">
        <v>669</v>
      </c>
      <c r="M45" s="8" t="s">
        <v>38</v>
      </c>
      <c r="N45" s="8" t="s">
        <v>22</v>
      </c>
      <c r="O45" s="8" t="s">
        <v>30</v>
      </c>
    </row>
    <row r="46" spans="1:15">
      <c r="A46" s="8" t="s">
        <v>181</v>
      </c>
      <c r="B46" s="9">
        <v>46219</v>
      </c>
      <c r="C46" s="8" t="s">
        <v>182</v>
      </c>
      <c r="D46" s="8" t="s">
        <v>17</v>
      </c>
      <c r="E46" s="8" t="s">
        <v>183</v>
      </c>
      <c r="F46" s="8" t="s">
        <v>44</v>
      </c>
      <c r="G46" s="8" t="s">
        <v>45</v>
      </c>
      <c r="H46" s="8">
        <v>1</v>
      </c>
      <c r="I46" s="8">
        <v>24600000</v>
      </c>
      <c r="J46" s="8">
        <v>738000</v>
      </c>
      <c r="K46" s="8">
        <v>23862000</v>
      </c>
      <c r="L46" s="8" t="s">
        <v>669</v>
      </c>
      <c r="M46" s="8" t="s">
        <v>46</v>
      </c>
      <c r="N46" s="8" t="s">
        <v>82</v>
      </c>
      <c r="O46" s="8" t="s">
        <v>77</v>
      </c>
    </row>
    <row r="47" spans="1:15">
      <c r="A47" s="8" t="s">
        <v>184</v>
      </c>
      <c r="B47" s="9">
        <v>46218</v>
      </c>
      <c r="C47" s="8" t="s">
        <v>85</v>
      </c>
      <c r="D47" s="8" t="s">
        <v>98</v>
      </c>
      <c r="E47" s="8" t="s">
        <v>146</v>
      </c>
      <c r="F47" s="8" t="s">
        <v>19</v>
      </c>
      <c r="G47" s="8" t="s">
        <v>20</v>
      </c>
      <c r="H47" s="8">
        <v>1</v>
      </c>
      <c r="I47" s="8">
        <v>33500000</v>
      </c>
      <c r="J47" s="8">
        <v>1005000</v>
      </c>
      <c r="K47" s="8">
        <v>32495000</v>
      </c>
      <c r="L47" s="8" t="s">
        <v>669</v>
      </c>
      <c r="M47" s="8" t="s">
        <v>21</v>
      </c>
      <c r="N47" s="8" t="s">
        <v>82</v>
      </c>
      <c r="O47" s="8" t="s">
        <v>39</v>
      </c>
    </row>
    <row r="48" spans="1:15">
      <c r="A48" s="8" t="s">
        <v>185</v>
      </c>
      <c r="B48" s="9">
        <v>46221</v>
      </c>
      <c r="C48" s="8" t="s">
        <v>65</v>
      </c>
      <c r="D48" s="8" t="s">
        <v>130</v>
      </c>
      <c r="E48" s="8" t="s">
        <v>120</v>
      </c>
      <c r="F48" s="8" t="s">
        <v>99</v>
      </c>
      <c r="G48" s="8" t="s">
        <v>100</v>
      </c>
      <c r="H48" s="8">
        <v>1</v>
      </c>
      <c r="I48" s="8">
        <v>29800000</v>
      </c>
      <c r="J48" s="8">
        <v>1490000</v>
      </c>
      <c r="K48" s="8">
        <v>28310000</v>
      </c>
      <c r="L48" s="8" t="s">
        <v>669</v>
      </c>
      <c r="M48" s="8" t="s">
        <v>46</v>
      </c>
      <c r="N48" s="8" t="s">
        <v>22</v>
      </c>
      <c r="O48" s="8" t="s">
        <v>23</v>
      </c>
    </row>
    <row r="49" spans="1:15">
      <c r="A49" s="8" t="s">
        <v>186</v>
      </c>
      <c r="B49" s="9">
        <v>46218</v>
      </c>
      <c r="C49" s="8" t="s">
        <v>155</v>
      </c>
      <c r="D49" s="8" t="s">
        <v>113</v>
      </c>
      <c r="E49" s="8" t="s">
        <v>187</v>
      </c>
      <c r="F49" s="8" t="s">
        <v>68</v>
      </c>
      <c r="G49" s="8" t="s">
        <v>69</v>
      </c>
      <c r="H49" s="8">
        <v>1</v>
      </c>
      <c r="I49" s="8">
        <v>17800000</v>
      </c>
      <c r="J49" s="8">
        <v>0</v>
      </c>
      <c r="K49" s="8">
        <v>17800000</v>
      </c>
      <c r="L49" s="8" t="s">
        <v>669</v>
      </c>
      <c r="M49" s="8" t="s">
        <v>38</v>
      </c>
      <c r="N49" s="8" t="s">
        <v>82</v>
      </c>
      <c r="O49" s="8" t="s">
        <v>30</v>
      </c>
    </row>
    <row r="50" spans="1:15">
      <c r="A50" s="8" t="s">
        <v>188</v>
      </c>
      <c r="B50" s="9">
        <v>46217</v>
      </c>
      <c r="C50" s="8" t="s">
        <v>85</v>
      </c>
      <c r="D50" s="8" t="s">
        <v>54</v>
      </c>
      <c r="E50" s="8" t="s">
        <v>190</v>
      </c>
      <c r="F50" s="8" t="s">
        <v>51</v>
      </c>
      <c r="G50" s="8" t="s">
        <v>52</v>
      </c>
      <c r="H50" s="8">
        <v>1</v>
      </c>
      <c r="I50" s="8">
        <v>41000000</v>
      </c>
      <c r="J50" s="8">
        <v>1230000</v>
      </c>
      <c r="K50" s="8">
        <v>39770000</v>
      </c>
      <c r="L50" s="8" t="s">
        <v>669</v>
      </c>
      <c r="M50" s="8" t="s">
        <v>38</v>
      </c>
      <c r="N50" s="8" t="s">
        <v>22</v>
      </c>
      <c r="O50" s="8" t="s">
        <v>39</v>
      </c>
    </row>
    <row r="51" spans="1:15">
      <c r="A51" s="8" t="s">
        <v>191</v>
      </c>
      <c r="B51" s="9">
        <v>46221</v>
      </c>
      <c r="C51" s="8" t="s">
        <v>71</v>
      </c>
      <c r="D51" s="8" t="s">
        <v>58</v>
      </c>
      <c r="E51" s="8" t="s">
        <v>192</v>
      </c>
      <c r="F51" s="8" t="s">
        <v>19</v>
      </c>
      <c r="G51" s="8" t="s">
        <v>20</v>
      </c>
      <c r="H51" s="8">
        <v>1</v>
      </c>
      <c r="I51" s="8">
        <v>33500000</v>
      </c>
      <c r="J51" s="8">
        <v>1675000</v>
      </c>
      <c r="K51" s="8">
        <v>31825000</v>
      </c>
      <c r="L51" s="8" t="s">
        <v>669</v>
      </c>
      <c r="M51" s="8" t="s">
        <v>46</v>
      </c>
      <c r="N51" s="8" t="s">
        <v>82</v>
      </c>
      <c r="O51" s="8" t="s">
        <v>30</v>
      </c>
    </row>
    <row r="52" spans="1:15">
      <c r="A52" s="8" t="s">
        <v>193</v>
      </c>
      <c r="B52" s="9">
        <v>46219</v>
      </c>
      <c r="C52" s="8" t="s">
        <v>97</v>
      </c>
      <c r="D52" s="8" t="s">
        <v>130</v>
      </c>
      <c r="E52" s="8" t="s">
        <v>194</v>
      </c>
      <c r="F52" s="8" t="s">
        <v>91</v>
      </c>
      <c r="G52" s="8" t="s">
        <v>92</v>
      </c>
      <c r="H52" s="8">
        <v>1</v>
      </c>
      <c r="I52" s="8">
        <v>26900000</v>
      </c>
      <c r="J52" s="8">
        <v>0</v>
      </c>
      <c r="K52" s="8">
        <v>26900000</v>
      </c>
      <c r="L52" s="8" t="s">
        <v>669</v>
      </c>
      <c r="M52" s="8" t="s">
        <v>29</v>
      </c>
      <c r="N52" s="8" t="s">
        <v>22</v>
      </c>
      <c r="O52" s="8" t="s">
        <v>23</v>
      </c>
    </row>
    <row r="53" spans="1:15">
      <c r="A53" s="8" t="s">
        <v>195</v>
      </c>
      <c r="B53" s="9">
        <v>46221</v>
      </c>
      <c r="C53" s="8" t="s">
        <v>182</v>
      </c>
      <c r="D53" s="8" t="s">
        <v>27</v>
      </c>
      <c r="E53" s="8" t="s">
        <v>90</v>
      </c>
      <c r="F53" s="8" t="s">
        <v>142</v>
      </c>
      <c r="G53" s="8" t="s">
        <v>143</v>
      </c>
      <c r="H53" s="8">
        <v>1</v>
      </c>
      <c r="I53" s="8">
        <v>18900000</v>
      </c>
      <c r="J53" s="8">
        <v>0</v>
      </c>
      <c r="K53" s="8">
        <v>18900000</v>
      </c>
      <c r="L53" s="8" t="s">
        <v>669</v>
      </c>
      <c r="M53" s="8" t="s">
        <v>62</v>
      </c>
      <c r="N53" s="8" t="s">
        <v>22</v>
      </c>
      <c r="O53" s="8" t="s">
        <v>23</v>
      </c>
    </row>
    <row r="54" spans="1:15">
      <c r="A54" s="8" t="s">
        <v>196</v>
      </c>
      <c r="B54" s="9">
        <v>46222</v>
      </c>
      <c r="C54" s="8" t="s">
        <v>16</v>
      </c>
      <c r="D54" s="8" t="s">
        <v>113</v>
      </c>
      <c r="E54" s="8" t="s">
        <v>197</v>
      </c>
      <c r="F54" s="8" t="s">
        <v>142</v>
      </c>
      <c r="G54" s="8" t="s">
        <v>143</v>
      </c>
      <c r="H54" s="8">
        <v>2</v>
      </c>
      <c r="I54" s="8">
        <v>18900000</v>
      </c>
      <c r="J54" s="8">
        <v>1890000</v>
      </c>
      <c r="K54" s="8">
        <v>35910000</v>
      </c>
      <c r="L54" s="8" t="s">
        <v>669</v>
      </c>
      <c r="M54" s="8" t="s">
        <v>38</v>
      </c>
      <c r="N54" s="8" t="s">
        <v>22</v>
      </c>
      <c r="O54" s="8" t="s">
        <v>30</v>
      </c>
    </row>
    <row r="55" spans="1:15">
      <c r="A55" s="8" t="s">
        <v>198</v>
      </c>
      <c r="B55" s="9">
        <v>46218</v>
      </c>
      <c r="C55" s="8" t="s">
        <v>33</v>
      </c>
      <c r="D55" s="8" t="s">
        <v>54</v>
      </c>
      <c r="E55" s="8" t="s">
        <v>199</v>
      </c>
      <c r="F55" s="8" t="s">
        <v>99</v>
      </c>
      <c r="G55" s="8" t="s">
        <v>100</v>
      </c>
      <c r="H55" s="8">
        <v>1</v>
      </c>
      <c r="I55" s="8">
        <v>29800000</v>
      </c>
      <c r="J55" s="8">
        <v>596000</v>
      </c>
      <c r="K55" s="8">
        <v>29204000</v>
      </c>
      <c r="L55" s="8" t="s">
        <v>669</v>
      </c>
      <c r="M55" s="8" t="s">
        <v>29</v>
      </c>
      <c r="N55" s="8" t="s">
        <v>22</v>
      </c>
      <c r="O55" s="8" t="s">
        <v>23</v>
      </c>
    </row>
    <row r="56" spans="1:15">
      <c r="A56" s="8" t="s">
        <v>200</v>
      </c>
      <c r="B56" s="9">
        <v>46220</v>
      </c>
      <c r="C56" s="8" t="s">
        <v>112</v>
      </c>
      <c r="D56" s="8" t="s">
        <v>201</v>
      </c>
      <c r="E56" s="8" t="s">
        <v>202</v>
      </c>
      <c r="F56" s="8" t="s">
        <v>19</v>
      </c>
      <c r="G56" s="8" t="s">
        <v>20</v>
      </c>
      <c r="H56" s="8">
        <v>1</v>
      </c>
      <c r="I56" s="8">
        <v>33500000</v>
      </c>
      <c r="J56" s="8">
        <v>0</v>
      </c>
      <c r="K56" s="8">
        <v>33500000</v>
      </c>
      <c r="L56" s="8" t="s">
        <v>669</v>
      </c>
      <c r="M56" s="8" t="s">
        <v>46</v>
      </c>
      <c r="N56" s="8" t="s">
        <v>82</v>
      </c>
      <c r="O56" s="8" t="s">
        <v>23</v>
      </c>
    </row>
    <row r="57" spans="1:15">
      <c r="A57" s="8" t="s">
        <v>203</v>
      </c>
      <c r="B57" s="9">
        <v>46222</v>
      </c>
      <c r="C57" s="8" t="s">
        <v>97</v>
      </c>
      <c r="D57" s="8" t="s">
        <v>42</v>
      </c>
      <c r="E57" s="8" t="s">
        <v>204</v>
      </c>
      <c r="F57" s="8" t="s">
        <v>19</v>
      </c>
      <c r="G57" s="8" t="s">
        <v>20</v>
      </c>
      <c r="H57" s="8">
        <v>1</v>
      </c>
      <c r="I57" s="8">
        <v>33500000</v>
      </c>
      <c r="J57" s="8">
        <v>1005000</v>
      </c>
      <c r="K57" s="8">
        <v>32495000</v>
      </c>
      <c r="L57" s="8" t="s">
        <v>669</v>
      </c>
      <c r="M57" s="8" t="s">
        <v>62</v>
      </c>
      <c r="N57" s="8" t="s">
        <v>22</v>
      </c>
      <c r="O57" s="8" t="s">
        <v>30</v>
      </c>
    </row>
    <row r="58" spans="1:15">
      <c r="A58" s="8" t="s">
        <v>205</v>
      </c>
      <c r="B58" s="9">
        <v>46219</v>
      </c>
      <c r="C58" s="8" t="s">
        <v>33</v>
      </c>
      <c r="D58" s="8" t="s">
        <v>54</v>
      </c>
      <c r="E58" s="8" t="s">
        <v>138</v>
      </c>
      <c r="F58" s="8" t="s">
        <v>68</v>
      </c>
      <c r="G58" s="8" t="s">
        <v>69</v>
      </c>
      <c r="H58" s="8">
        <v>1</v>
      </c>
      <c r="I58" s="8">
        <v>17800000</v>
      </c>
      <c r="J58" s="8">
        <v>534000</v>
      </c>
      <c r="K58" s="8">
        <v>17266000</v>
      </c>
      <c r="L58" s="8" t="s">
        <v>669</v>
      </c>
      <c r="M58" s="8" t="s">
        <v>38</v>
      </c>
      <c r="N58" s="8" t="s">
        <v>22</v>
      </c>
      <c r="O58" s="8" t="s">
        <v>77</v>
      </c>
    </row>
    <row r="59" spans="1:15">
      <c r="A59" s="8" t="s">
        <v>206</v>
      </c>
      <c r="B59" s="9">
        <v>46222</v>
      </c>
      <c r="C59" s="8" t="s">
        <v>33</v>
      </c>
      <c r="D59" s="8" t="s">
        <v>168</v>
      </c>
      <c r="E59" s="8" t="s">
        <v>207</v>
      </c>
      <c r="F59" s="8" t="s">
        <v>51</v>
      </c>
      <c r="G59" s="8" t="s">
        <v>52</v>
      </c>
      <c r="H59" s="8">
        <v>1</v>
      </c>
      <c r="I59" s="8">
        <v>41000000</v>
      </c>
      <c r="J59" s="8">
        <v>2050000</v>
      </c>
      <c r="K59" s="8">
        <v>38950000</v>
      </c>
      <c r="L59" s="8" t="s">
        <v>669</v>
      </c>
      <c r="M59" s="8" t="s">
        <v>21</v>
      </c>
      <c r="N59" s="8" t="s">
        <v>22</v>
      </c>
      <c r="O59" s="8" t="s">
        <v>77</v>
      </c>
    </row>
    <row r="60" spans="1:15">
      <c r="A60" s="8" t="s">
        <v>208</v>
      </c>
      <c r="B60" s="9">
        <v>46221</v>
      </c>
      <c r="C60" s="8" t="s">
        <v>97</v>
      </c>
      <c r="D60" s="8" t="s">
        <v>17</v>
      </c>
      <c r="E60" s="8" t="s">
        <v>209</v>
      </c>
      <c r="F60" s="8" t="s">
        <v>19</v>
      </c>
      <c r="G60" s="8" t="s">
        <v>20</v>
      </c>
      <c r="H60" s="8">
        <v>1</v>
      </c>
      <c r="I60" s="8">
        <v>33500000</v>
      </c>
      <c r="J60" s="8">
        <v>670000</v>
      </c>
      <c r="K60" s="8">
        <v>32830000</v>
      </c>
      <c r="L60" s="8" t="s">
        <v>669</v>
      </c>
      <c r="M60" s="8" t="s">
        <v>21</v>
      </c>
      <c r="N60" s="8" t="s">
        <v>22</v>
      </c>
      <c r="O60" s="8" t="s">
        <v>77</v>
      </c>
    </row>
    <row r="61" spans="1:15">
      <c r="A61" s="8" t="s">
        <v>210</v>
      </c>
      <c r="B61" s="9">
        <v>46220</v>
      </c>
      <c r="C61" s="8" t="s">
        <v>155</v>
      </c>
      <c r="D61" s="8" t="s">
        <v>670</v>
      </c>
      <c r="E61" s="8" t="s">
        <v>213</v>
      </c>
      <c r="F61" s="8" t="s">
        <v>51</v>
      </c>
      <c r="G61" s="8" t="s">
        <v>52</v>
      </c>
      <c r="H61" s="8">
        <v>1</v>
      </c>
      <c r="I61" s="8">
        <v>41000000</v>
      </c>
      <c r="J61" s="8">
        <v>0</v>
      </c>
      <c r="K61" s="8">
        <v>41000000</v>
      </c>
      <c r="L61" s="8" t="s">
        <v>669</v>
      </c>
      <c r="M61" s="8" t="s">
        <v>62</v>
      </c>
      <c r="N61" s="8" t="s">
        <v>87</v>
      </c>
      <c r="O61" s="8" t="s">
        <v>30</v>
      </c>
    </row>
    <row r="62" spans="1:15">
      <c r="A62" s="8" t="s">
        <v>214</v>
      </c>
      <c r="B62" s="9">
        <v>46216</v>
      </c>
      <c r="C62" s="8" t="s">
        <v>65</v>
      </c>
      <c r="D62" s="8" t="s">
        <v>130</v>
      </c>
      <c r="E62" s="8" t="s">
        <v>216</v>
      </c>
      <c r="F62" s="8" t="s">
        <v>60</v>
      </c>
      <c r="G62" s="8" t="s">
        <v>61</v>
      </c>
      <c r="H62" s="8">
        <v>1</v>
      </c>
      <c r="I62" s="8">
        <v>21500000</v>
      </c>
      <c r="J62" s="8">
        <v>1075000</v>
      </c>
      <c r="K62" s="8">
        <v>20425000</v>
      </c>
      <c r="L62" s="8" t="s">
        <v>669</v>
      </c>
      <c r="M62" s="8" t="s">
        <v>46</v>
      </c>
      <c r="N62" s="8" t="s">
        <v>22</v>
      </c>
      <c r="O62" s="8" t="s">
        <v>30</v>
      </c>
    </row>
    <row r="63" spans="1:15">
      <c r="A63" s="8" t="s">
        <v>217</v>
      </c>
      <c r="B63" s="9">
        <v>46220</v>
      </c>
      <c r="C63" s="8" t="s">
        <v>155</v>
      </c>
      <c r="D63" s="8" t="s">
        <v>168</v>
      </c>
      <c r="E63" s="8" t="s">
        <v>35</v>
      </c>
      <c r="F63" s="8" t="s">
        <v>152</v>
      </c>
      <c r="G63" s="8" t="s">
        <v>153</v>
      </c>
      <c r="H63" s="8">
        <v>1</v>
      </c>
      <c r="I63" s="8">
        <v>27400000</v>
      </c>
      <c r="J63" s="8">
        <v>1370000</v>
      </c>
      <c r="K63" s="8">
        <v>26030000</v>
      </c>
      <c r="L63" s="8" t="s">
        <v>669</v>
      </c>
      <c r="M63" s="8" t="s">
        <v>21</v>
      </c>
      <c r="N63" s="8" t="s">
        <v>82</v>
      </c>
      <c r="O63" s="8" t="s">
        <v>39</v>
      </c>
    </row>
    <row r="64" spans="1:15">
      <c r="A64" s="8" t="s">
        <v>218</v>
      </c>
      <c r="B64" s="9">
        <v>46216</v>
      </c>
      <c r="C64" s="8" t="s">
        <v>16</v>
      </c>
      <c r="D64" s="8" t="s">
        <v>34</v>
      </c>
      <c r="E64" s="8" t="s">
        <v>219</v>
      </c>
      <c r="F64" s="8" t="s">
        <v>19</v>
      </c>
      <c r="G64" s="8" t="s">
        <v>20</v>
      </c>
      <c r="H64" s="8">
        <v>2</v>
      </c>
      <c r="I64" s="8">
        <v>33500000</v>
      </c>
      <c r="J64" s="8">
        <v>0</v>
      </c>
      <c r="K64" s="8">
        <v>67000000</v>
      </c>
      <c r="L64" s="8" t="s">
        <v>669</v>
      </c>
      <c r="M64" s="8" t="s">
        <v>29</v>
      </c>
      <c r="N64" s="8" t="s">
        <v>22</v>
      </c>
      <c r="O64" s="8" t="s">
        <v>77</v>
      </c>
    </row>
    <row r="65" spans="1:15">
      <c r="A65" s="8" t="s">
        <v>220</v>
      </c>
      <c r="B65" s="9">
        <v>46218</v>
      </c>
      <c r="C65" s="8" t="s">
        <v>71</v>
      </c>
      <c r="D65" s="8" t="s">
        <v>27</v>
      </c>
      <c r="E65" s="8" t="s">
        <v>221</v>
      </c>
      <c r="F65" s="8" t="s">
        <v>99</v>
      </c>
      <c r="G65" s="8" t="s">
        <v>100</v>
      </c>
      <c r="H65" s="8">
        <v>1</v>
      </c>
      <c r="I65" s="8">
        <v>29800000</v>
      </c>
      <c r="J65" s="8">
        <v>596000</v>
      </c>
      <c r="K65" s="8">
        <v>29204000</v>
      </c>
      <c r="L65" s="8" t="s">
        <v>669</v>
      </c>
      <c r="M65" s="8" t="s">
        <v>21</v>
      </c>
      <c r="N65" s="8" t="s">
        <v>22</v>
      </c>
      <c r="O65" s="8" t="s">
        <v>30</v>
      </c>
    </row>
    <row r="66" spans="1:15">
      <c r="A66" s="8" t="s">
        <v>446</v>
      </c>
      <c r="B66" s="9">
        <v>46218</v>
      </c>
      <c r="C66" s="8" t="s">
        <v>85</v>
      </c>
      <c r="D66" s="8" t="s">
        <v>113</v>
      </c>
      <c r="E66" s="8" t="s">
        <v>437</v>
      </c>
      <c r="F66" s="8" t="s">
        <v>142</v>
      </c>
      <c r="G66" s="8" t="s">
        <v>143</v>
      </c>
      <c r="H66" s="8">
        <v>1</v>
      </c>
      <c r="I66" s="8">
        <v>18900000</v>
      </c>
      <c r="J66" s="8">
        <v>567000</v>
      </c>
      <c r="K66" s="8">
        <v>18333000</v>
      </c>
      <c r="L66" s="8" t="s">
        <v>669</v>
      </c>
      <c r="M66" s="8" t="s">
        <v>38</v>
      </c>
      <c r="N66" s="8" t="s">
        <v>22</v>
      </c>
      <c r="O66" s="8" t="s">
        <v>39</v>
      </c>
    </row>
    <row r="67" spans="1:15">
      <c r="A67" s="8" t="s">
        <v>224</v>
      </c>
      <c r="B67" s="9">
        <v>46217</v>
      </c>
      <c r="C67" s="8" t="s">
        <v>26</v>
      </c>
      <c r="D67" s="8" t="s">
        <v>54</v>
      </c>
      <c r="E67" s="8" t="s">
        <v>225</v>
      </c>
      <c r="F67" s="8" t="s">
        <v>60</v>
      </c>
      <c r="G67" s="8" t="s">
        <v>61</v>
      </c>
      <c r="H67" s="8">
        <v>1</v>
      </c>
      <c r="I67" s="8">
        <v>21500000</v>
      </c>
      <c r="J67" s="8">
        <v>430000</v>
      </c>
      <c r="K67" s="8">
        <v>21070000</v>
      </c>
      <c r="L67" s="8" t="s">
        <v>669</v>
      </c>
      <c r="M67" s="8" t="s">
        <v>21</v>
      </c>
      <c r="N67" s="8" t="s">
        <v>22</v>
      </c>
      <c r="O67" s="8" t="s">
        <v>39</v>
      </c>
    </row>
    <row r="68" spans="1:15">
      <c r="A68" s="8" t="s">
        <v>226</v>
      </c>
      <c r="B68" s="9">
        <v>46216</v>
      </c>
      <c r="C68" s="8" t="s">
        <v>26</v>
      </c>
      <c r="D68" s="8" t="s">
        <v>113</v>
      </c>
      <c r="E68" s="8" t="s">
        <v>227</v>
      </c>
      <c r="F68" s="8" t="s">
        <v>68</v>
      </c>
      <c r="G68" s="8" t="s">
        <v>69</v>
      </c>
      <c r="H68" s="8">
        <v>1</v>
      </c>
      <c r="I68" s="8">
        <v>17800000</v>
      </c>
      <c r="J68" s="8">
        <v>178000</v>
      </c>
      <c r="K68" s="8">
        <v>17622000</v>
      </c>
      <c r="L68" s="8" t="s">
        <v>669</v>
      </c>
      <c r="M68" s="8" t="s">
        <v>46</v>
      </c>
      <c r="N68" s="8" t="s">
        <v>22</v>
      </c>
      <c r="O68" s="8" t="s">
        <v>39</v>
      </c>
    </row>
    <row r="69" spans="1:15">
      <c r="A69" s="8" t="s">
        <v>228</v>
      </c>
      <c r="B69" s="9">
        <v>46217</v>
      </c>
      <c r="C69" s="8" t="s">
        <v>182</v>
      </c>
      <c r="D69" s="8" t="s">
        <v>98</v>
      </c>
      <c r="E69" s="8" t="s">
        <v>35</v>
      </c>
      <c r="F69" s="8" t="s">
        <v>91</v>
      </c>
      <c r="G69" s="8" t="s">
        <v>92</v>
      </c>
      <c r="H69" s="8">
        <v>1</v>
      </c>
      <c r="I69" s="8">
        <v>26900000</v>
      </c>
      <c r="J69" s="8">
        <v>807000</v>
      </c>
      <c r="K69" s="8">
        <v>26093000</v>
      </c>
      <c r="L69" s="8" t="s">
        <v>669</v>
      </c>
      <c r="M69" s="8" t="s">
        <v>46</v>
      </c>
      <c r="N69" s="8" t="s">
        <v>22</v>
      </c>
      <c r="O69" s="8" t="s">
        <v>39</v>
      </c>
    </row>
    <row r="70" spans="1:15">
      <c r="A70" s="8" t="s">
        <v>229</v>
      </c>
      <c r="B70" s="9">
        <v>46219</v>
      </c>
      <c r="C70" s="8" t="s">
        <v>26</v>
      </c>
      <c r="D70" s="8" t="s">
        <v>27</v>
      </c>
      <c r="E70" s="8" t="s">
        <v>230</v>
      </c>
      <c r="F70" s="8" t="s">
        <v>142</v>
      </c>
      <c r="G70" s="8" t="s">
        <v>143</v>
      </c>
      <c r="H70" s="8">
        <v>1</v>
      </c>
      <c r="I70" s="8">
        <v>18900000</v>
      </c>
      <c r="J70" s="8">
        <v>189000</v>
      </c>
      <c r="K70" s="8">
        <v>18711000</v>
      </c>
      <c r="L70" s="8" t="s">
        <v>669</v>
      </c>
      <c r="M70" s="8" t="s">
        <v>29</v>
      </c>
      <c r="N70" s="8" t="s">
        <v>22</v>
      </c>
      <c r="O70" s="8" t="s">
        <v>23</v>
      </c>
    </row>
    <row r="71" spans="1:15">
      <c r="A71" s="8" t="s">
        <v>231</v>
      </c>
      <c r="B71" s="9">
        <v>46220</v>
      </c>
      <c r="C71" s="8" t="s">
        <v>148</v>
      </c>
      <c r="D71" s="8" t="s">
        <v>80</v>
      </c>
      <c r="E71" s="8" t="s">
        <v>232</v>
      </c>
      <c r="F71" s="8" t="s">
        <v>152</v>
      </c>
      <c r="G71" s="8" t="s">
        <v>153</v>
      </c>
      <c r="H71" s="8">
        <v>1</v>
      </c>
      <c r="I71" s="8">
        <v>27400000</v>
      </c>
      <c r="J71" s="8">
        <v>0</v>
      </c>
      <c r="K71" s="8">
        <v>27400000</v>
      </c>
      <c r="L71" s="8" t="s">
        <v>669</v>
      </c>
      <c r="M71" s="8" t="s">
        <v>38</v>
      </c>
      <c r="N71" s="8" t="s">
        <v>82</v>
      </c>
      <c r="O71" s="8" t="s">
        <v>30</v>
      </c>
    </row>
    <row r="72" spans="1:15">
      <c r="A72" s="8" t="s">
        <v>233</v>
      </c>
      <c r="B72" s="9">
        <v>46221</v>
      </c>
      <c r="C72" s="8" t="s">
        <v>48</v>
      </c>
      <c r="D72" s="8" t="s">
        <v>113</v>
      </c>
      <c r="E72" s="8" t="s">
        <v>234</v>
      </c>
      <c r="F72" s="8" t="s">
        <v>44</v>
      </c>
      <c r="G72" s="8" t="s">
        <v>45</v>
      </c>
      <c r="H72" s="8">
        <v>1</v>
      </c>
      <c r="I72" s="8">
        <v>24600000</v>
      </c>
      <c r="J72" s="8">
        <v>492000</v>
      </c>
      <c r="K72" s="8">
        <v>24108000</v>
      </c>
      <c r="L72" s="8" t="s">
        <v>669</v>
      </c>
      <c r="M72" s="8" t="s">
        <v>38</v>
      </c>
      <c r="N72" s="8" t="s">
        <v>22</v>
      </c>
      <c r="O72" s="8" t="s">
        <v>23</v>
      </c>
    </row>
    <row r="73" spans="1:15">
      <c r="A73" s="8" t="s">
        <v>235</v>
      </c>
      <c r="B73" s="9">
        <v>46221</v>
      </c>
      <c r="C73" s="8" t="s">
        <v>26</v>
      </c>
      <c r="D73" s="8" t="s">
        <v>130</v>
      </c>
      <c r="E73" s="8" t="s">
        <v>236</v>
      </c>
      <c r="F73" s="8" t="s">
        <v>152</v>
      </c>
      <c r="G73" s="8" t="s">
        <v>153</v>
      </c>
      <c r="H73" s="8">
        <v>1</v>
      </c>
      <c r="I73" s="8">
        <v>27400000</v>
      </c>
      <c r="J73" s="8">
        <v>822000</v>
      </c>
      <c r="K73" s="8">
        <v>26578000</v>
      </c>
      <c r="L73" s="8" t="s">
        <v>669</v>
      </c>
      <c r="M73" s="8" t="s">
        <v>62</v>
      </c>
      <c r="N73" s="8" t="s">
        <v>82</v>
      </c>
      <c r="O73" s="8" t="s">
        <v>39</v>
      </c>
    </row>
    <row r="74" spans="1:15">
      <c r="A74" s="8" t="s">
        <v>237</v>
      </c>
      <c r="B74" s="9">
        <v>46220</v>
      </c>
      <c r="C74" s="8" t="s">
        <v>85</v>
      </c>
      <c r="D74" s="8" t="s">
        <v>58</v>
      </c>
      <c r="E74" s="8" t="s">
        <v>238</v>
      </c>
      <c r="F74" s="8" t="s">
        <v>60</v>
      </c>
      <c r="G74" s="8" t="s">
        <v>61</v>
      </c>
      <c r="H74" s="8">
        <v>1</v>
      </c>
      <c r="I74" s="8">
        <v>21500000</v>
      </c>
      <c r="J74" s="8">
        <v>1075000</v>
      </c>
      <c r="K74" s="8">
        <v>20425000</v>
      </c>
      <c r="L74" s="8" t="s">
        <v>669</v>
      </c>
      <c r="M74" s="8" t="s">
        <v>21</v>
      </c>
      <c r="N74" s="8" t="s">
        <v>22</v>
      </c>
      <c r="O74" s="8" t="s">
        <v>39</v>
      </c>
    </row>
    <row r="75" spans="1:15">
      <c r="A75" s="8" t="s">
        <v>239</v>
      </c>
      <c r="B75" s="9">
        <v>46217</v>
      </c>
      <c r="C75" s="8" t="s">
        <v>26</v>
      </c>
      <c r="D75" s="8" t="s">
        <v>58</v>
      </c>
      <c r="E75" s="8" t="s">
        <v>240</v>
      </c>
      <c r="F75" s="8" t="s">
        <v>19</v>
      </c>
      <c r="G75" s="8" t="s">
        <v>20</v>
      </c>
      <c r="H75" s="8">
        <v>1</v>
      </c>
      <c r="I75" s="8">
        <v>33500000</v>
      </c>
      <c r="J75" s="8">
        <v>335000</v>
      </c>
      <c r="K75" s="8">
        <v>33165000</v>
      </c>
      <c r="L75" s="8" t="s">
        <v>669</v>
      </c>
      <c r="M75" s="8" t="s">
        <v>62</v>
      </c>
      <c r="N75" s="8" t="s">
        <v>22</v>
      </c>
      <c r="O75" s="8" t="s">
        <v>23</v>
      </c>
    </row>
    <row r="76" spans="1:15">
      <c r="A76" s="8" t="s">
        <v>241</v>
      </c>
      <c r="B76" s="9">
        <v>46222</v>
      </c>
      <c r="C76" s="8" t="s">
        <v>155</v>
      </c>
      <c r="D76" s="8" t="s">
        <v>242</v>
      </c>
      <c r="E76" s="8" t="s">
        <v>243</v>
      </c>
      <c r="F76" s="8" t="s">
        <v>99</v>
      </c>
      <c r="G76" s="8" t="s">
        <v>100</v>
      </c>
      <c r="H76" s="8">
        <v>1</v>
      </c>
      <c r="I76" s="8">
        <v>29800000</v>
      </c>
      <c r="J76" s="8">
        <v>596000</v>
      </c>
      <c r="K76" s="8">
        <v>29204000</v>
      </c>
      <c r="L76" s="8" t="s">
        <v>669</v>
      </c>
      <c r="M76" s="8" t="s">
        <v>46</v>
      </c>
      <c r="N76" s="8" t="s">
        <v>22</v>
      </c>
      <c r="O76" s="8" t="s">
        <v>39</v>
      </c>
    </row>
    <row r="77" spans="1:15">
      <c r="A77" s="8" t="s">
        <v>244</v>
      </c>
      <c r="B77" s="9">
        <v>46221</v>
      </c>
      <c r="C77" s="8" t="s">
        <v>26</v>
      </c>
      <c r="D77" s="8" t="s">
        <v>113</v>
      </c>
      <c r="E77" s="8" t="s">
        <v>245</v>
      </c>
      <c r="F77" s="8" t="s">
        <v>142</v>
      </c>
      <c r="G77" s="8" t="s">
        <v>143</v>
      </c>
      <c r="H77" s="8">
        <v>1</v>
      </c>
      <c r="I77" s="8">
        <v>18900000</v>
      </c>
      <c r="J77" s="8">
        <v>189000</v>
      </c>
      <c r="K77" s="8">
        <v>18711000</v>
      </c>
      <c r="L77" s="8" t="s">
        <v>669</v>
      </c>
      <c r="M77" s="8" t="s">
        <v>29</v>
      </c>
      <c r="N77" s="8" t="s">
        <v>22</v>
      </c>
      <c r="O77" s="8" t="s">
        <v>23</v>
      </c>
    </row>
    <row r="78" spans="1:15">
      <c r="A78" s="8" t="s">
        <v>246</v>
      </c>
      <c r="B78" s="9">
        <v>46222</v>
      </c>
      <c r="C78" s="8" t="s">
        <v>65</v>
      </c>
      <c r="D78" s="8" t="s">
        <v>49</v>
      </c>
      <c r="E78" s="8" t="s">
        <v>35</v>
      </c>
      <c r="F78" s="8" t="s">
        <v>19</v>
      </c>
      <c r="G78" s="8" t="s">
        <v>20</v>
      </c>
      <c r="H78" s="8">
        <v>1</v>
      </c>
      <c r="I78" s="8">
        <v>33500000</v>
      </c>
      <c r="J78" s="8">
        <v>1005000</v>
      </c>
      <c r="K78" s="8">
        <v>32495000</v>
      </c>
      <c r="L78" s="8" t="s">
        <v>669</v>
      </c>
      <c r="M78" s="8" t="s">
        <v>38</v>
      </c>
      <c r="N78" s="8" t="s">
        <v>22</v>
      </c>
      <c r="O78" s="8" t="s">
        <v>39</v>
      </c>
    </row>
    <row r="79" spans="1:15">
      <c r="A79" s="8" t="s">
        <v>247</v>
      </c>
      <c r="B79" s="9">
        <v>46220</v>
      </c>
      <c r="C79" s="8" t="s">
        <v>33</v>
      </c>
      <c r="D79" s="8" t="s">
        <v>94</v>
      </c>
      <c r="E79" s="8" t="s">
        <v>194</v>
      </c>
      <c r="F79" s="8" t="s">
        <v>60</v>
      </c>
      <c r="G79" s="8" t="s">
        <v>61</v>
      </c>
      <c r="H79" s="8">
        <v>1</v>
      </c>
      <c r="I79" s="8">
        <v>21500000</v>
      </c>
      <c r="J79" s="8">
        <v>1075000</v>
      </c>
      <c r="K79" s="8">
        <v>20425000</v>
      </c>
      <c r="L79" s="8" t="s">
        <v>669</v>
      </c>
      <c r="M79" s="8" t="s">
        <v>29</v>
      </c>
      <c r="N79" s="8" t="s">
        <v>87</v>
      </c>
      <c r="O79" s="8" t="s">
        <v>39</v>
      </c>
    </row>
    <row r="80" spans="1:15">
      <c r="A80" s="8" t="s">
        <v>248</v>
      </c>
      <c r="B80" s="9">
        <v>46222</v>
      </c>
      <c r="C80" s="8" t="s">
        <v>71</v>
      </c>
      <c r="D80" s="8" t="s">
        <v>17</v>
      </c>
      <c r="E80" s="8" t="s">
        <v>249</v>
      </c>
      <c r="F80" s="8" t="s">
        <v>44</v>
      </c>
      <c r="G80" s="8" t="s">
        <v>45</v>
      </c>
      <c r="H80" s="8">
        <v>1</v>
      </c>
      <c r="I80" s="8">
        <v>24600000</v>
      </c>
      <c r="J80" s="8">
        <v>738000</v>
      </c>
      <c r="K80" s="8">
        <v>23862000</v>
      </c>
      <c r="L80" s="8" t="s">
        <v>669</v>
      </c>
      <c r="M80" s="8" t="s">
        <v>62</v>
      </c>
      <c r="N80" s="8" t="s">
        <v>22</v>
      </c>
      <c r="O80" s="8" t="s">
        <v>30</v>
      </c>
    </row>
    <row r="81" spans="1:15">
      <c r="A81" s="8" t="s">
        <v>250</v>
      </c>
      <c r="B81" s="9">
        <v>46218</v>
      </c>
      <c r="C81" s="8" t="s">
        <v>48</v>
      </c>
      <c r="D81" s="8" t="s">
        <v>66</v>
      </c>
      <c r="E81" s="8" t="s">
        <v>251</v>
      </c>
      <c r="F81" s="8" t="s">
        <v>142</v>
      </c>
      <c r="G81" s="8" t="s">
        <v>143</v>
      </c>
      <c r="H81" s="8">
        <v>1</v>
      </c>
      <c r="I81" s="8">
        <v>18900000</v>
      </c>
      <c r="J81" s="8">
        <v>0</v>
      </c>
      <c r="K81" s="8">
        <v>18900000</v>
      </c>
      <c r="L81" s="8" t="s">
        <v>669</v>
      </c>
      <c r="M81" s="8" t="s">
        <v>46</v>
      </c>
      <c r="N81" s="8" t="s">
        <v>22</v>
      </c>
      <c r="O81" s="8" t="s">
        <v>30</v>
      </c>
    </row>
    <row r="82" spans="1:15">
      <c r="A82" s="8" t="s">
        <v>252</v>
      </c>
      <c r="B82" s="9">
        <v>46216</v>
      </c>
      <c r="C82" s="8" t="s">
        <v>97</v>
      </c>
      <c r="D82" s="8" t="s">
        <v>49</v>
      </c>
      <c r="E82" s="8" t="s">
        <v>253</v>
      </c>
      <c r="F82" s="8" t="s">
        <v>44</v>
      </c>
      <c r="G82" s="8" t="s">
        <v>45</v>
      </c>
      <c r="H82" s="8">
        <v>1</v>
      </c>
      <c r="I82" s="8">
        <v>24600000</v>
      </c>
      <c r="J82" s="8">
        <v>0</v>
      </c>
      <c r="K82" s="8">
        <v>24600000</v>
      </c>
      <c r="L82" s="8" t="s">
        <v>669</v>
      </c>
      <c r="M82" s="8" t="s">
        <v>29</v>
      </c>
      <c r="N82" s="8" t="s">
        <v>82</v>
      </c>
      <c r="O82" s="8" t="s">
        <v>77</v>
      </c>
    </row>
    <row r="83" spans="1:15">
      <c r="A83" s="8" t="s">
        <v>254</v>
      </c>
      <c r="B83" s="9">
        <v>46221</v>
      </c>
      <c r="C83" s="8" t="s">
        <v>65</v>
      </c>
      <c r="D83" s="8" t="s">
        <v>72</v>
      </c>
      <c r="E83" s="8" t="s">
        <v>234</v>
      </c>
      <c r="F83" s="8" t="s">
        <v>19</v>
      </c>
      <c r="G83" s="8" t="s">
        <v>20</v>
      </c>
      <c r="H83" s="8">
        <v>1</v>
      </c>
      <c r="I83" s="8">
        <v>33500000</v>
      </c>
      <c r="J83" s="8">
        <v>1675000</v>
      </c>
      <c r="K83" s="8">
        <v>31825000</v>
      </c>
      <c r="L83" s="8" t="s">
        <v>669</v>
      </c>
      <c r="M83" s="8" t="s">
        <v>21</v>
      </c>
      <c r="N83" s="8" t="s">
        <v>22</v>
      </c>
      <c r="O83" s="8" t="s">
        <v>30</v>
      </c>
    </row>
    <row r="84" spans="1:15">
      <c r="A84" s="8" t="s">
        <v>255</v>
      </c>
      <c r="B84" s="9">
        <v>46218</v>
      </c>
      <c r="C84" s="8" t="s">
        <v>65</v>
      </c>
      <c r="D84" s="8" t="s">
        <v>126</v>
      </c>
      <c r="E84" s="8" t="s">
        <v>187</v>
      </c>
      <c r="F84" s="8" t="s">
        <v>51</v>
      </c>
      <c r="G84" s="8" t="s">
        <v>52</v>
      </c>
      <c r="H84" s="8">
        <v>1</v>
      </c>
      <c r="I84" s="8">
        <v>41000000</v>
      </c>
      <c r="J84" s="8">
        <v>0</v>
      </c>
      <c r="K84" s="8">
        <v>41000000</v>
      </c>
      <c r="L84" s="8" t="s">
        <v>669</v>
      </c>
      <c r="M84" s="8" t="s">
        <v>29</v>
      </c>
      <c r="N84" s="8" t="s">
        <v>22</v>
      </c>
      <c r="O84" s="8" t="s">
        <v>77</v>
      </c>
    </row>
    <row r="85" spans="1:15">
      <c r="A85" s="8" t="s">
        <v>256</v>
      </c>
      <c r="B85" s="9">
        <v>46220</v>
      </c>
      <c r="C85" s="8" t="s">
        <v>155</v>
      </c>
      <c r="D85" s="8" t="s">
        <v>168</v>
      </c>
      <c r="E85" s="8" t="s">
        <v>95</v>
      </c>
      <c r="F85" s="8" t="s">
        <v>99</v>
      </c>
      <c r="G85" s="8" t="s">
        <v>100</v>
      </c>
      <c r="H85" s="8">
        <v>1</v>
      </c>
      <c r="I85" s="8">
        <v>29800000</v>
      </c>
      <c r="J85" s="8">
        <v>0</v>
      </c>
      <c r="K85" s="8">
        <v>29800000</v>
      </c>
      <c r="L85" s="8" t="s">
        <v>669</v>
      </c>
      <c r="M85" s="8" t="s">
        <v>46</v>
      </c>
      <c r="N85" s="8" t="s">
        <v>22</v>
      </c>
      <c r="O85" s="8" t="s">
        <v>77</v>
      </c>
    </row>
    <row r="86" spans="1:15">
      <c r="A86" s="8" t="s">
        <v>257</v>
      </c>
      <c r="B86" s="9">
        <v>46217</v>
      </c>
      <c r="C86" s="8" t="s">
        <v>65</v>
      </c>
      <c r="D86" s="8" t="s">
        <v>98</v>
      </c>
      <c r="E86" s="8" t="s">
        <v>86</v>
      </c>
      <c r="F86" s="8" t="s">
        <v>99</v>
      </c>
      <c r="G86" s="8" t="s">
        <v>100</v>
      </c>
      <c r="H86" s="8">
        <v>2</v>
      </c>
      <c r="I86" s="8">
        <v>29800000</v>
      </c>
      <c r="J86" s="8">
        <v>596000</v>
      </c>
      <c r="K86" s="8">
        <v>59004000</v>
      </c>
      <c r="L86" s="8" t="s">
        <v>669</v>
      </c>
      <c r="M86" s="8" t="s">
        <v>46</v>
      </c>
      <c r="N86" s="8" t="s">
        <v>22</v>
      </c>
      <c r="O86" s="8" t="s">
        <v>30</v>
      </c>
    </row>
    <row r="87" spans="1:15">
      <c r="A87" s="8" t="s">
        <v>258</v>
      </c>
      <c r="B87" s="9">
        <v>46216</v>
      </c>
      <c r="C87" s="8" t="s">
        <v>33</v>
      </c>
      <c r="D87" s="8" t="s">
        <v>670</v>
      </c>
      <c r="E87" s="8" t="s">
        <v>259</v>
      </c>
      <c r="F87" s="8" t="s">
        <v>36</v>
      </c>
      <c r="G87" s="8" t="s">
        <v>37</v>
      </c>
      <c r="H87" s="8">
        <v>1</v>
      </c>
      <c r="I87" s="8">
        <v>22300000</v>
      </c>
      <c r="J87" s="8">
        <v>0</v>
      </c>
      <c r="K87" s="8">
        <v>22300000</v>
      </c>
      <c r="L87" s="8" t="s">
        <v>669</v>
      </c>
      <c r="M87" s="8" t="s">
        <v>38</v>
      </c>
      <c r="N87" s="8" t="s">
        <v>22</v>
      </c>
      <c r="O87" s="8" t="s">
        <v>77</v>
      </c>
    </row>
    <row r="88" spans="1:15">
      <c r="A88" s="8" t="s">
        <v>260</v>
      </c>
      <c r="B88" s="9">
        <v>46221</v>
      </c>
      <c r="C88" s="8" t="s">
        <v>48</v>
      </c>
      <c r="D88" s="8" t="s">
        <v>72</v>
      </c>
      <c r="E88" s="8" t="s">
        <v>192</v>
      </c>
      <c r="F88" s="8" t="s">
        <v>19</v>
      </c>
      <c r="G88" s="8" t="s">
        <v>20</v>
      </c>
      <c r="H88" s="8">
        <v>1</v>
      </c>
      <c r="I88" s="8">
        <v>33500000</v>
      </c>
      <c r="J88" s="8">
        <v>335000</v>
      </c>
      <c r="K88" s="8">
        <v>0</v>
      </c>
      <c r="L88" s="8" t="s">
        <v>671</v>
      </c>
      <c r="M88" s="8" t="s">
        <v>29</v>
      </c>
      <c r="N88" s="8" t="s">
        <v>87</v>
      </c>
      <c r="O88" s="8" t="s">
        <v>77</v>
      </c>
    </row>
    <row r="89" spans="1:15">
      <c r="A89" s="8" t="s">
        <v>261</v>
      </c>
      <c r="B89" s="9">
        <v>46216</v>
      </c>
      <c r="C89" s="8" t="s">
        <v>112</v>
      </c>
      <c r="D89" s="8" t="s">
        <v>17</v>
      </c>
      <c r="E89" s="8" t="s">
        <v>59</v>
      </c>
      <c r="F89" s="8" t="s">
        <v>91</v>
      </c>
      <c r="G89" s="8" t="s">
        <v>92</v>
      </c>
      <c r="H89" s="8">
        <v>1</v>
      </c>
      <c r="I89" s="8">
        <v>26900000</v>
      </c>
      <c r="J89" s="8">
        <v>269000</v>
      </c>
      <c r="K89" s="8">
        <v>26631000</v>
      </c>
      <c r="L89" s="8" t="s">
        <v>669</v>
      </c>
      <c r="M89" s="8" t="s">
        <v>29</v>
      </c>
      <c r="N89" s="8" t="s">
        <v>22</v>
      </c>
      <c r="O89" s="8" t="s">
        <v>77</v>
      </c>
    </row>
    <row r="90" spans="1:15">
      <c r="A90" s="8" t="s">
        <v>262</v>
      </c>
      <c r="B90" s="9">
        <v>46221</v>
      </c>
      <c r="C90" s="8" t="s">
        <v>65</v>
      </c>
      <c r="D90" s="8" t="s">
        <v>126</v>
      </c>
      <c r="E90" s="8" t="s">
        <v>263</v>
      </c>
      <c r="F90" s="8" t="s">
        <v>51</v>
      </c>
      <c r="G90" s="8" t="s">
        <v>52</v>
      </c>
      <c r="H90" s="8">
        <v>1</v>
      </c>
      <c r="I90" s="8">
        <v>41000000</v>
      </c>
      <c r="J90" s="8">
        <v>1230000</v>
      </c>
      <c r="K90" s="8">
        <v>39770000</v>
      </c>
      <c r="L90" s="8" t="s">
        <v>669</v>
      </c>
      <c r="M90" s="8" t="s">
        <v>21</v>
      </c>
      <c r="N90" s="8" t="s">
        <v>22</v>
      </c>
      <c r="O90" s="8" t="s">
        <v>30</v>
      </c>
    </row>
    <row r="91" spans="1:15">
      <c r="A91" s="8" t="s">
        <v>264</v>
      </c>
      <c r="B91" s="9">
        <v>46216</v>
      </c>
      <c r="C91" s="8" t="s">
        <v>155</v>
      </c>
      <c r="D91" s="8" t="s">
        <v>17</v>
      </c>
      <c r="E91" s="8" t="s">
        <v>265</v>
      </c>
      <c r="F91" s="8" t="s">
        <v>99</v>
      </c>
      <c r="G91" s="8" t="s">
        <v>100</v>
      </c>
      <c r="H91" s="8">
        <v>1</v>
      </c>
      <c r="I91" s="8">
        <v>29800000</v>
      </c>
      <c r="J91" s="8">
        <v>1490000</v>
      </c>
      <c r="K91" s="8">
        <v>28310000</v>
      </c>
      <c r="L91" s="8" t="s">
        <v>669</v>
      </c>
      <c r="M91" s="8" t="s">
        <v>29</v>
      </c>
      <c r="N91" s="8" t="s">
        <v>22</v>
      </c>
      <c r="O91" s="8" t="s">
        <v>30</v>
      </c>
    </row>
    <row r="92" spans="1:15">
      <c r="A92" s="8" t="s">
        <v>266</v>
      </c>
      <c r="B92" s="9">
        <v>46219</v>
      </c>
      <c r="C92" s="8" t="s">
        <v>65</v>
      </c>
      <c r="D92" s="8" t="s">
        <v>27</v>
      </c>
      <c r="E92" s="8" t="s">
        <v>267</v>
      </c>
      <c r="F92" s="8" t="s">
        <v>99</v>
      </c>
      <c r="G92" s="8" t="s">
        <v>100</v>
      </c>
      <c r="H92" s="8">
        <v>1</v>
      </c>
      <c r="I92" s="8">
        <v>29800000</v>
      </c>
      <c r="J92" s="8">
        <v>894000</v>
      </c>
      <c r="K92" s="8">
        <v>28906000</v>
      </c>
      <c r="L92" s="8" t="s">
        <v>669</v>
      </c>
      <c r="M92" s="8" t="s">
        <v>46</v>
      </c>
      <c r="N92" s="8" t="s">
        <v>22</v>
      </c>
      <c r="O92" s="8" t="s">
        <v>23</v>
      </c>
    </row>
    <row r="93" spans="1:15">
      <c r="A93" s="8" t="s">
        <v>268</v>
      </c>
      <c r="B93" s="9">
        <v>46218</v>
      </c>
      <c r="C93" s="8" t="s">
        <v>26</v>
      </c>
      <c r="D93" s="8" t="s">
        <v>113</v>
      </c>
      <c r="E93" s="8" t="s">
        <v>269</v>
      </c>
      <c r="F93" s="8" t="s">
        <v>142</v>
      </c>
      <c r="G93" s="8" t="s">
        <v>143</v>
      </c>
      <c r="H93" s="8">
        <v>1</v>
      </c>
      <c r="I93" s="8">
        <v>18900000</v>
      </c>
      <c r="J93" s="8">
        <v>0</v>
      </c>
      <c r="K93" s="8">
        <v>18900000</v>
      </c>
      <c r="L93" s="8" t="s">
        <v>669</v>
      </c>
      <c r="M93" s="8" t="s">
        <v>38</v>
      </c>
      <c r="N93" s="8" t="s">
        <v>22</v>
      </c>
      <c r="O93" s="8" t="s">
        <v>30</v>
      </c>
    </row>
    <row r="94" spans="1:15">
      <c r="A94" s="8" t="s">
        <v>270</v>
      </c>
      <c r="B94" s="9">
        <v>46217</v>
      </c>
      <c r="C94" s="8" t="s">
        <v>148</v>
      </c>
      <c r="D94" s="8" t="s">
        <v>80</v>
      </c>
      <c r="E94" s="8" t="s">
        <v>271</v>
      </c>
      <c r="F94" s="8" t="s">
        <v>152</v>
      </c>
      <c r="G94" s="8" t="s">
        <v>153</v>
      </c>
      <c r="H94" s="8">
        <v>1</v>
      </c>
      <c r="I94" s="8">
        <v>27400000</v>
      </c>
      <c r="J94" s="8">
        <v>0</v>
      </c>
      <c r="K94" s="8">
        <v>27400000</v>
      </c>
      <c r="L94" s="8" t="s">
        <v>669</v>
      </c>
      <c r="M94" s="8" t="s">
        <v>21</v>
      </c>
      <c r="N94" s="8" t="s">
        <v>87</v>
      </c>
      <c r="O94" s="8" t="s">
        <v>30</v>
      </c>
    </row>
    <row r="95" spans="1:15">
      <c r="A95" s="8" t="s">
        <v>272</v>
      </c>
      <c r="B95" s="9">
        <v>46222</v>
      </c>
      <c r="C95" s="8" t="s">
        <v>48</v>
      </c>
      <c r="D95" s="8" t="s">
        <v>242</v>
      </c>
      <c r="E95" s="8" t="s">
        <v>273</v>
      </c>
      <c r="F95" s="8" t="s">
        <v>36</v>
      </c>
      <c r="G95" s="8" t="s">
        <v>37</v>
      </c>
      <c r="H95" s="8">
        <v>1</v>
      </c>
      <c r="I95" s="8">
        <v>22300000</v>
      </c>
      <c r="J95" s="8">
        <v>446000</v>
      </c>
      <c r="K95" s="8">
        <v>21854000</v>
      </c>
      <c r="L95" s="8" t="s">
        <v>669</v>
      </c>
      <c r="M95" s="8" t="s">
        <v>46</v>
      </c>
      <c r="N95" s="8" t="s">
        <v>22</v>
      </c>
      <c r="O95" s="8" t="s">
        <v>39</v>
      </c>
    </row>
    <row r="96" spans="1:15">
      <c r="A96" s="8" t="s">
        <v>274</v>
      </c>
      <c r="B96" s="9">
        <v>46219</v>
      </c>
      <c r="C96" s="8" t="s">
        <v>65</v>
      </c>
      <c r="D96" s="8" t="s">
        <v>94</v>
      </c>
      <c r="E96" s="8" t="s">
        <v>275</v>
      </c>
      <c r="F96" s="8" t="s">
        <v>99</v>
      </c>
      <c r="G96" s="8" t="s">
        <v>100</v>
      </c>
      <c r="H96" s="8">
        <v>1</v>
      </c>
      <c r="I96" s="8">
        <v>29800000</v>
      </c>
      <c r="J96" s="8">
        <v>894000</v>
      </c>
      <c r="K96" s="8">
        <v>28906000</v>
      </c>
      <c r="L96" s="8" t="s">
        <v>669</v>
      </c>
      <c r="M96" s="8" t="s">
        <v>29</v>
      </c>
      <c r="N96" s="8" t="s">
        <v>87</v>
      </c>
      <c r="O96" s="8" t="s">
        <v>39</v>
      </c>
    </row>
    <row r="97" spans="1:15">
      <c r="A97" s="8" t="s">
        <v>276</v>
      </c>
      <c r="B97" s="9">
        <v>46219</v>
      </c>
      <c r="C97" s="8" t="s">
        <v>26</v>
      </c>
      <c r="D97" s="8" t="s">
        <v>113</v>
      </c>
      <c r="E97" s="8" t="s">
        <v>197</v>
      </c>
      <c r="F97" s="8" t="s">
        <v>142</v>
      </c>
      <c r="G97" s="8" t="s">
        <v>143</v>
      </c>
      <c r="H97" s="8">
        <v>1</v>
      </c>
      <c r="I97" s="8">
        <v>18900000</v>
      </c>
      <c r="J97" s="8">
        <v>567000</v>
      </c>
      <c r="K97" s="8">
        <v>18333000</v>
      </c>
      <c r="L97" s="8" t="s">
        <v>669</v>
      </c>
      <c r="M97" s="8" t="s">
        <v>38</v>
      </c>
      <c r="N97" s="8" t="s">
        <v>87</v>
      </c>
      <c r="O97" s="8" t="s">
        <v>30</v>
      </c>
    </row>
    <row r="98" spans="1:15">
      <c r="A98" s="8" t="s">
        <v>277</v>
      </c>
      <c r="B98" s="9">
        <v>46217</v>
      </c>
      <c r="C98" s="8" t="s">
        <v>112</v>
      </c>
      <c r="D98" s="8" t="s">
        <v>242</v>
      </c>
      <c r="E98" s="8" t="s">
        <v>278</v>
      </c>
      <c r="F98" s="8" t="s">
        <v>99</v>
      </c>
      <c r="G98" s="8" t="s">
        <v>100</v>
      </c>
      <c r="H98" s="8">
        <v>1</v>
      </c>
      <c r="I98" s="8">
        <v>29800000</v>
      </c>
      <c r="J98" s="8">
        <v>596000</v>
      </c>
      <c r="K98" s="8">
        <v>29204000</v>
      </c>
      <c r="L98" s="8" t="s">
        <v>669</v>
      </c>
      <c r="M98" s="8" t="s">
        <v>29</v>
      </c>
      <c r="N98" s="8" t="s">
        <v>22</v>
      </c>
      <c r="O98" s="8" t="s">
        <v>39</v>
      </c>
    </row>
    <row r="99" spans="1:15">
      <c r="A99" s="8" t="s">
        <v>279</v>
      </c>
      <c r="B99" s="9">
        <v>46219</v>
      </c>
      <c r="C99" s="8" t="s">
        <v>48</v>
      </c>
      <c r="D99" s="8" t="s">
        <v>113</v>
      </c>
      <c r="E99" s="8" t="s">
        <v>280</v>
      </c>
      <c r="F99" s="8" t="s">
        <v>99</v>
      </c>
      <c r="G99" s="8" t="s">
        <v>100</v>
      </c>
      <c r="H99" s="8">
        <v>1</v>
      </c>
      <c r="I99" s="8">
        <v>29800000</v>
      </c>
      <c r="J99" s="8">
        <v>1490000</v>
      </c>
      <c r="K99" s="8">
        <v>28310000</v>
      </c>
      <c r="L99" s="8" t="s">
        <v>669</v>
      </c>
      <c r="M99" s="8" t="s">
        <v>46</v>
      </c>
      <c r="N99" s="8" t="s">
        <v>22</v>
      </c>
      <c r="O99" s="8" t="s">
        <v>39</v>
      </c>
    </row>
    <row r="100" spans="1:15">
      <c r="A100" s="8" t="s">
        <v>281</v>
      </c>
      <c r="B100" s="9">
        <v>46218</v>
      </c>
      <c r="C100" s="8" t="s">
        <v>148</v>
      </c>
      <c r="D100" s="8" t="s">
        <v>72</v>
      </c>
      <c r="E100" s="8" t="s">
        <v>86</v>
      </c>
      <c r="F100" s="8" t="s">
        <v>99</v>
      </c>
      <c r="G100" s="8" t="s">
        <v>100</v>
      </c>
      <c r="H100" s="8">
        <v>1</v>
      </c>
      <c r="I100" s="8">
        <v>29800000</v>
      </c>
      <c r="J100" s="8">
        <v>1490000</v>
      </c>
      <c r="K100" s="8">
        <v>28310000</v>
      </c>
      <c r="L100" s="8" t="s">
        <v>669</v>
      </c>
      <c r="M100" s="8" t="s">
        <v>29</v>
      </c>
      <c r="N100" s="8" t="s">
        <v>22</v>
      </c>
      <c r="O100" s="8" t="s">
        <v>39</v>
      </c>
    </row>
    <row r="101" spans="1:15">
      <c r="A101" s="8" t="s">
        <v>282</v>
      </c>
      <c r="B101" s="9">
        <v>46217</v>
      </c>
      <c r="C101" s="8" t="s">
        <v>71</v>
      </c>
      <c r="D101" s="8" t="s">
        <v>34</v>
      </c>
      <c r="E101" s="8" t="s">
        <v>283</v>
      </c>
      <c r="F101" s="8" t="s">
        <v>152</v>
      </c>
      <c r="G101" s="8" t="s">
        <v>153</v>
      </c>
      <c r="H101" s="8">
        <v>1</v>
      </c>
      <c r="I101" s="8">
        <v>27400000</v>
      </c>
      <c r="J101" s="8">
        <v>0</v>
      </c>
      <c r="K101" s="8">
        <v>27400000</v>
      </c>
      <c r="L101" s="8" t="s">
        <v>669</v>
      </c>
      <c r="M101" s="8" t="s">
        <v>46</v>
      </c>
      <c r="N101" s="8" t="s">
        <v>22</v>
      </c>
      <c r="O101" s="8" t="s">
        <v>39</v>
      </c>
    </row>
    <row r="102" spans="1:15">
      <c r="A102" s="8" t="s">
        <v>284</v>
      </c>
      <c r="B102" s="9">
        <v>46218</v>
      </c>
      <c r="C102" s="8" t="s">
        <v>48</v>
      </c>
      <c r="D102" s="8" t="s">
        <v>27</v>
      </c>
      <c r="E102" s="8" t="s">
        <v>286</v>
      </c>
      <c r="F102" s="8" t="s">
        <v>142</v>
      </c>
      <c r="G102" s="8" t="s">
        <v>143</v>
      </c>
      <c r="H102" s="8">
        <v>1</v>
      </c>
      <c r="I102" s="8">
        <v>18900000</v>
      </c>
      <c r="J102" s="8">
        <v>567000</v>
      </c>
      <c r="K102" s="8">
        <v>18333000</v>
      </c>
      <c r="L102" s="8" t="s">
        <v>669</v>
      </c>
      <c r="M102" s="8" t="s">
        <v>46</v>
      </c>
      <c r="N102" s="8" t="s">
        <v>22</v>
      </c>
      <c r="O102" s="8" t="s">
        <v>23</v>
      </c>
    </row>
    <row r="103" spans="1:15">
      <c r="A103" s="8" t="s">
        <v>287</v>
      </c>
      <c r="B103" s="9">
        <v>46222</v>
      </c>
      <c r="C103" s="8" t="s">
        <v>85</v>
      </c>
      <c r="D103" s="8" t="s">
        <v>670</v>
      </c>
      <c r="E103" s="8" t="s">
        <v>18</v>
      </c>
      <c r="F103" s="8" t="s">
        <v>36</v>
      </c>
      <c r="G103" s="8" t="s">
        <v>37</v>
      </c>
      <c r="H103" s="8">
        <v>1</v>
      </c>
      <c r="I103" s="8">
        <v>22300000</v>
      </c>
      <c r="J103" s="8">
        <v>446000</v>
      </c>
      <c r="K103" s="8">
        <v>21854000</v>
      </c>
      <c r="L103" s="8" t="s">
        <v>669</v>
      </c>
      <c r="M103" s="8" t="s">
        <v>62</v>
      </c>
      <c r="N103" s="8" t="s">
        <v>22</v>
      </c>
      <c r="O103" s="8" t="s">
        <v>30</v>
      </c>
    </row>
    <row r="104" spans="1:15">
      <c r="A104" s="8" t="s">
        <v>288</v>
      </c>
      <c r="B104" s="9">
        <v>46221</v>
      </c>
      <c r="C104" s="8" t="s">
        <v>26</v>
      </c>
      <c r="D104" s="8" t="s">
        <v>72</v>
      </c>
      <c r="E104" s="8" t="s">
        <v>289</v>
      </c>
      <c r="F104" s="8" t="s">
        <v>19</v>
      </c>
      <c r="G104" s="8" t="s">
        <v>20</v>
      </c>
      <c r="H104" s="8">
        <v>1</v>
      </c>
      <c r="I104" s="8">
        <v>33500000</v>
      </c>
      <c r="J104" s="8">
        <v>335000</v>
      </c>
      <c r="K104" s="8">
        <v>33165000</v>
      </c>
      <c r="L104" s="8" t="s">
        <v>669</v>
      </c>
      <c r="M104" s="8" t="s">
        <v>38</v>
      </c>
      <c r="N104" s="8" t="s">
        <v>22</v>
      </c>
      <c r="O104" s="8" t="s">
        <v>77</v>
      </c>
    </row>
    <row r="105" spans="1:15">
      <c r="A105" s="8" t="s">
        <v>290</v>
      </c>
      <c r="B105" s="9">
        <v>46221</v>
      </c>
      <c r="C105" s="8" t="s">
        <v>65</v>
      </c>
      <c r="D105" s="8" t="s">
        <v>113</v>
      </c>
      <c r="E105" s="8" t="s">
        <v>291</v>
      </c>
      <c r="F105" s="8" t="s">
        <v>60</v>
      </c>
      <c r="G105" s="8" t="s">
        <v>61</v>
      </c>
      <c r="H105" s="8">
        <v>1</v>
      </c>
      <c r="I105" s="8">
        <v>21500000</v>
      </c>
      <c r="J105" s="8">
        <v>430000</v>
      </c>
      <c r="K105" s="8">
        <v>21070000</v>
      </c>
      <c r="L105" s="8" t="s">
        <v>669</v>
      </c>
      <c r="M105" s="8" t="s">
        <v>62</v>
      </c>
      <c r="N105" s="8" t="s">
        <v>82</v>
      </c>
      <c r="O105" s="8" t="s">
        <v>39</v>
      </c>
    </row>
    <row r="106" spans="1:15">
      <c r="A106" s="8" t="s">
        <v>292</v>
      </c>
      <c r="B106" s="9">
        <v>46219</v>
      </c>
      <c r="C106" s="8" t="s">
        <v>148</v>
      </c>
      <c r="D106" s="8" t="s">
        <v>130</v>
      </c>
      <c r="E106" s="8" t="s">
        <v>293</v>
      </c>
      <c r="F106" s="8" t="s">
        <v>91</v>
      </c>
      <c r="G106" s="8" t="s">
        <v>92</v>
      </c>
      <c r="H106" s="8">
        <v>1</v>
      </c>
      <c r="I106" s="8">
        <v>26900000</v>
      </c>
      <c r="J106" s="8">
        <v>1345000</v>
      </c>
      <c r="K106" s="8">
        <v>25555000</v>
      </c>
      <c r="L106" s="8" t="s">
        <v>669</v>
      </c>
      <c r="M106" s="8" t="s">
        <v>62</v>
      </c>
      <c r="N106" s="8" t="s">
        <v>22</v>
      </c>
      <c r="O106" s="8" t="s">
        <v>39</v>
      </c>
    </row>
    <row r="107" spans="1:15">
      <c r="A107" s="8" t="s">
        <v>294</v>
      </c>
      <c r="B107" s="9">
        <v>46217</v>
      </c>
      <c r="C107" s="8" t="s">
        <v>71</v>
      </c>
      <c r="D107" s="8" t="s">
        <v>113</v>
      </c>
      <c r="E107" s="8" t="s">
        <v>251</v>
      </c>
      <c r="F107" s="8" t="s">
        <v>19</v>
      </c>
      <c r="G107" s="8" t="s">
        <v>20</v>
      </c>
      <c r="H107" s="8">
        <v>1</v>
      </c>
      <c r="I107" s="8">
        <v>33500000</v>
      </c>
      <c r="J107" s="8">
        <v>0</v>
      </c>
      <c r="K107" s="8">
        <v>33500000</v>
      </c>
      <c r="L107" s="8" t="s">
        <v>669</v>
      </c>
      <c r="M107" s="8" t="s">
        <v>38</v>
      </c>
      <c r="N107" s="8" t="s">
        <v>22</v>
      </c>
      <c r="O107" s="8" t="s">
        <v>23</v>
      </c>
    </row>
    <row r="108" spans="1:15">
      <c r="A108" s="8" t="s">
        <v>295</v>
      </c>
      <c r="B108" s="9">
        <v>46218</v>
      </c>
      <c r="C108" s="8" t="s">
        <v>65</v>
      </c>
      <c r="D108" s="8" t="s">
        <v>670</v>
      </c>
      <c r="E108" s="8" t="s">
        <v>296</v>
      </c>
      <c r="F108" s="8" t="s">
        <v>60</v>
      </c>
      <c r="G108" s="8" t="s">
        <v>61</v>
      </c>
      <c r="H108" s="8">
        <v>1</v>
      </c>
      <c r="I108" s="8">
        <v>21500000</v>
      </c>
      <c r="J108" s="8">
        <v>1075000</v>
      </c>
      <c r="K108" s="8">
        <v>20425000</v>
      </c>
      <c r="L108" s="8" t="s">
        <v>669</v>
      </c>
      <c r="M108" s="8" t="s">
        <v>29</v>
      </c>
      <c r="N108" s="8" t="s">
        <v>22</v>
      </c>
      <c r="O108" s="8" t="s">
        <v>39</v>
      </c>
    </row>
    <row r="109" spans="1:15">
      <c r="A109" s="8" t="s">
        <v>297</v>
      </c>
      <c r="B109" s="9">
        <v>46217</v>
      </c>
      <c r="C109" s="8" t="s">
        <v>85</v>
      </c>
      <c r="D109" s="8" t="s">
        <v>168</v>
      </c>
      <c r="E109" s="8" t="s">
        <v>298</v>
      </c>
      <c r="F109" s="8" t="s">
        <v>44</v>
      </c>
      <c r="G109" s="8" t="s">
        <v>45</v>
      </c>
      <c r="H109" s="8">
        <v>1</v>
      </c>
      <c r="I109" s="8">
        <v>24600000</v>
      </c>
      <c r="J109" s="8">
        <v>246000</v>
      </c>
      <c r="K109" s="8">
        <v>24354000</v>
      </c>
      <c r="L109" s="8" t="s">
        <v>669</v>
      </c>
      <c r="M109" s="8" t="s">
        <v>29</v>
      </c>
      <c r="N109" s="8" t="s">
        <v>22</v>
      </c>
      <c r="O109" s="8" t="s">
        <v>39</v>
      </c>
    </row>
    <row r="110" spans="1:15">
      <c r="A110" s="8" t="s">
        <v>299</v>
      </c>
      <c r="B110" s="9">
        <v>46222</v>
      </c>
      <c r="C110" s="8" t="s">
        <v>16</v>
      </c>
      <c r="D110" s="8" t="s">
        <v>75</v>
      </c>
      <c r="E110" s="8" t="s">
        <v>165</v>
      </c>
      <c r="F110" s="8" t="s">
        <v>19</v>
      </c>
      <c r="G110" s="8" t="s">
        <v>20</v>
      </c>
      <c r="H110" s="8">
        <v>1</v>
      </c>
      <c r="I110" s="8">
        <v>33500000</v>
      </c>
      <c r="J110" s="8">
        <v>670000</v>
      </c>
      <c r="K110" s="8">
        <v>32830000</v>
      </c>
      <c r="L110" s="8" t="s">
        <v>669</v>
      </c>
      <c r="M110" s="8" t="s">
        <v>62</v>
      </c>
      <c r="N110" s="8" t="s">
        <v>22</v>
      </c>
      <c r="O110" s="8" t="s">
        <v>77</v>
      </c>
    </row>
    <row r="111" spans="1:15">
      <c r="A111" s="8" t="s">
        <v>300</v>
      </c>
      <c r="B111" s="9">
        <v>46219</v>
      </c>
      <c r="C111" s="8" t="s">
        <v>16</v>
      </c>
      <c r="D111" s="8" t="s">
        <v>66</v>
      </c>
      <c r="E111" s="8" t="s">
        <v>301</v>
      </c>
      <c r="F111" s="8" t="s">
        <v>51</v>
      </c>
      <c r="G111" s="8" t="s">
        <v>52</v>
      </c>
      <c r="H111" s="8">
        <v>1</v>
      </c>
      <c r="I111" s="8">
        <v>41000000</v>
      </c>
      <c r="J111" s="8">
        <v>410000</v>
      </c>
      <c r="K111" s="8">
        <v>40590000</v>
      </c>
      <c r="L111" s="8" t="s">
        <v>669</v>
      </c>
      <c r="M111" s="8" t="s">
        <v>29</v>
      </c>
      <c r="N111" s="8" t="s">
        <v>22</v>
      </c>
      <c r="O111" s="8" t="s">
        <v>23</v>
      </c>
    </row>
    <row r="112" spans="1:15">
      <c r="A112" s="8" t="s">
        <v>302</v>
      </c>
      <c r="B112" s="9">
        <v>46222</v>
      </c>
      <c r="C112" s="8" t="s">
        <v>48</v>
      </c>
      <c r="D112" s="8" t="s">
        <v>34</v>
      </c>
      <c r="E112" s="8" t="s">
        <v>86</v>
      </c>
      <c r="F112" s="8" t="s">
        <v>152</v>
      </c>
      <c r="G112" s="8" t="s">
        <v>153</v>
      </c>
      <c r="H112" s="8">
        <v>1</v>
      </c>
      <c r="I112" s="8">
        <v>27400000</v>
      </c>
      <c r="J112" s="8">
        <v>822000</v>
      </c>
      <c r="K112" s="8">
        <v>0</v>
      </c>
      <c r="L112" s="8" t="s">
        <v>671</v>
      </c>
      <c r="M112" s="8" t="s">
        <v>46</v>
      </c>
      <c r="N112" s="8" t="s">
        <v>22</v>
      </c>
      <c r="O112" s="8" t="s">
        <v>23</v>
      </c>
    </row>
    <row r="113" spans="1:15">
      <c r="A113" s="8" t="s">
        <v>303</v>
      </c>
      <c r="B113" s="9">
        <v>46216</v>
      </c>
      <c r="C113" s="8" t="s">
        <v>48</v>
      </c>
      <c r="D113" s="8" t="s">
        <v>72</v>
      </c>
      <c r="E113" s="8" t="s">
        <v>304</v>
      </c>
      <c r="F113" s="8" t="s">
        <v>142</v>
      </c>
      <c r="G113" s="8" t="s">
        <v>143</v>
      </c>
      <c r="H113" s="8">
        <v>1</v>
      </c>
      <c r="I113" s="8">
        <v>18900000</v>
      </c>
      <c r="J113" s="8">
        <v>0</v>
      </c>
      <c r="K113" s="8">
        <v>18900000</v>
      </c>
      <c r="L113" s="8" t="s">
        <v>669</v>
      </c>
      <c r="M113" s="8" t="s">
        <v>29</v>
      </c>
      <c r="N113" s="8" t="s">
        <v>22</v>
      </c>
      <c r="O113" s="8" t="s">
        <v>30</v>
      </c>
    </row>
    <row r="114" spans="1:15">
      <c r="A114" s="8" t="s">
        <v>305</v>
      </c>
      <c r="B114" s="9">
        <v>46221</v>
      </c>
      <c r="C114" s="8" t="s">
        <v>112</v>
      </c>
      <c r="D114" s="8" t="s">
        <v>201</v>
      </c>
      <c r="E114" s="8" t="s">
        <v>278</v>
      </c>
      <c r="F114" s="8" t="s">
        <v>44</v>
      </c>
      <c r="G114" s="8" t="s">
        <v>45</v>
      </c>
      <c r="H114" s="8">
        <v>1</v>
      </c>
      <c r="I114" s="8">
        <v>24600000</v>
      </c>
      <c r="J114" s="8">
        <v>246000</v>
      </c>
      <c r="K114" s="8">
        <v>24354000</v>
      </c>
      <c r="L114" s="8" t="s">
        <v>669</v>
      </c>
      <c r="M114" s="8" t="s">
        <v>46</v>
      </c>
      <c r="N114" s="8" t="s">
        <v>22</v>
      </c>
      <c r="O114" s="8" t="s">
        <v>77</v>
      </c>
    </row>
    <row r="115" spans="1:15">
      <c r="A115" s="8" t="s">
        <v>306</v>
      </c>
      <c r="B115" s="9">
        <v>46220</v>
      </c>
      <c r="C115" s="8" t="s">
        <v>48</v>
      </c>
      <c r="D115" s="8" t="s">
        <v>242</v>
      </c>
      <c r="E115" s="8" t="s">
        <v>174</v>
      </c>
      <c r="F115" s="8" t="s">
        <v>152</v>
      </c>
      <c r="G115" s="8" t="s">
        <v>153</v>
      </c>
      <c r="H115" s="8">
        <v>1</v>
      </c>
      <c r="I115" s="8">
        <v>27400000</v>
      </c>
      <c r="J115" s="8">
        <v>274000</v>
      </c>
      <c r="K115" s="8">
        <v>27126000</v>
      </c>
      <c r="L115" s="8" t="s">
        <v>669</v>
      </c>
      <c r="M115" s="8" t="s">
        <v>46</v>
      </c>
      <c r="N115" s="8" t="s">
        <v>22</v>
      </c>
      <c r="O115" s="8" t="s">
        <v>30</v>
      </c>
    </row>
    <row r="116" spans="1:15">
      <c r="A116" s="8" t="s">
        <v>307</v>
      </c>
      <c r="B116" s="9">
        <v>46217</v>
      </c>
      <c r="C116" s="8" t="s">
        <v>26</v>
      </c>
      <c r="D116" s="8" t="s">
        <v>98</v>
      </c>
      <c r="E116" s="8" t="s">
        <v>225</v>
      </c>
      <c r="F116" s="8" t="s">
        <v>99</v>
      </c>
      <c r="G116" s="8" t="s">
        <v>100</v>
      </c>
      <c r="H116" s="8">
        <v>1</v>
      </c>
      <c r="I116" s="8">
        <v>29800000</v>
      </c>
      <c r="J116" s="8">
        <v>894000</v>
      </c>
      <c r="K116" s="8">
        <v>28906000</v>
      </c>
      <c r="L116" s="8" t="s">
        <v>669</v>
      </c>
      <c r="M116" s="8" t="s">
        <v>29</v>
      </c>
      <c r="N116" s="8" t="s">
        <v>22</v>
      </c>
      <c r="O116" s="8" t="s">
        <v>30</v>
      </c>
    </row>
    <row r="117" spans="1:15">
      <c r="A117" s="8" t="s">
        <v>308</v>
      </c>
      <c r="B117" s="9">
        <v>46219</v>
      </c>
      <c r="C117" s="8" t="s">
        <v>97</v>
      </c>
      <c r="D117" s="8" t="s">
        <v>72</v>
      </c>
      <c r="E117" s="8" t="s">
        <v>259</v>
      </c>
      <c r="F117" s="8" t="s">
        <v>91</v>
      </c>
      <c r="G117" s="8" t="s">
        <v>92</v>
      </c>
      <c r="H117" s="8">
        <v>1</v>
      </c>
      <c r="I117" s="8">
        <v>26900000</v>
      </c>
      <c r="J117" s="8">
        <v>0</v>
      </c>
      <c r="K117" s="8">
        <v>26900000</v>
      </c>
      <c r="L117" s="8" t="s">
        <v>669</v>
      </c>
      <c r="M117" s="8" t="s">
        <v>21</v>
      </c>
      <c r="N117" s="8" t="s">
        <v>22</v>
      </c>
      <c r="O117" s="8" t="s">
        <v>30</v>
      </c>
    </row>
    <row r="118" spans="1:15">
      <c r="A118" s="8" t="s">
        <v>311</v>
      </c>
      <c r="B118" s="9">
        <v>46217</v>
      </c>
      <c r="C118" s="8" t="s">
        <v>71</v>
      </c>
      <c r="D118" s="8" t="s">
        <v>201</v>
      </c>
      <c r="E118" s="8" t="s">
        <v>312</v>
      </c>
      <c r="F118" s="8" t="s">
        <v>19</v>
      </c>
      <c r="G118" s="8" t="s">
        <v>20</v>
      </c>
      <c r="H118" s="8">
        <v>1</v>
      </c>
      <c r="I118" s="8">
        <v>33500000</v>
      </c>
      <c r="J118" s="8">
        <v>335000</v>
      </c>
      <c r="K118" s="8">
        <v>33165000</v>
      </c>
      <c r="L118" s="8" t="s">
        <v>669</v>
      </c>
      <c r="M118" s="8" t="s">
        <v>29</v>
      </c>
      <c r="N118" s="8" t="s">
        <v>22</v>
      </c>
      <c r="O118" s="8" t="s">
        <v>77</v>
      </c>
    </row>
    <row r="119" spans="1:15">
      <c r="A119" s="8" t="s">
        <v>313</v>
      </c>
      <c r="B119" s="9">
        <v>46219</v>
      </c>
      <c r="C119" s="8" t="s">
        <v>182</v>
      </c>
      <c r="D119" s="8" t="s">
        <v>66</v>
      </c>
      <c r="E119" s="8" t="s">
        <v>314</v>
      </c>
      <c r="F119" s="8" t="s">
        <v>152</v>
      </c>
      <c r="G119" s="8" t="s">
        <v>153</v>
      </c>
      <c r="H119" s="8">
        <v>1</v>
      </c>
      <c r="I119" s="8">
        <v>27400000</v>
      </c>
      <c r="J119" s="8">
        <v>274000</v>
      </c>
      <c r="K119" s="8">
        <v>27126000</v>
      </c>
      <c r="L119" s="8" t="s">
        <v>669</v>
      </c>
      <c r="M119" s="8" t="s">
        <v>21</v>
      </c>
      <c r="N119" s="8" t="s">
        <v>22</v>
      </c>
      <c r="O119" s="8" t="s">
        <v>77</v>
      </c>
    </row>
    <row r="120" spans="1:15">
      <c r="A120" s="8" t="s">
        <v>315</v>
      </c>
      <c r="B120" s="9">
        <v>46219</v>
      </c>
      <c r="C120" s="8" t="s">
        <v>97</v>
      </c>
      <c r="D120" s="8" t="s">
        <v>27</v>
      </c>
      <c r="E120" s="8" t="s">
        <v>280</v>
      </c>
      <c r="F120" s="8" t="s">
        <v>19</v>
      </c>
      <c r="G120" s="8" t="s">
        <v>20</v>
      </c>
      <c r="H120" s="8">
        <v>1</v>
      </c>
      <c r="I120" s="8">
        <v>33500000</v>
      </c>
      <c r="J120" s="8">
        <v>0</v>
      </c>
      <c r="K120" s="8">
        <v>33500000</v>
      </c>
      <c r="L120" s="8" t="s">
        <v>669</v>
      </c>
      <c r="M120" s="8" t="s">
        <v>21</v>
      </c>
      <c r="N120" s="8" t="s">
        <v>22</v>
      </c>
      <c r="O120" s="8" t="s">
        <v>30</v>
      </c>
    </row>
    <row r="121" spans="1:15">
      <c r="A121" s="8" t="s">
        <v>316</v>
      </c>
      <c r="B121" s="9">
        <v>46221</v>
      </c>
      <c r="C121" s="8" t="s">
        <v>182</v>
      </c>
      <c r="D121" s="8" t="s">
        <v>34</v>
      </c>
      <c r="E121" s="8" t="s">
        <v>317</v>
      </c>
      <c r="F121" s="8" t="s">
        <v>99</v>
      </c>
      <c r="G121" s="8" t="s">
        <v>100</v>
      </c>
      <c r="H121" s="8">
        <v>1</v>
      </c>
      <c r="I121" s="8">
        <v>29800000</v>
      </c>
      <c r="J121" s="8">
        <v>0</v>
      </c>
      <c r="K121" s="8">
        <v>29800000</v>
      </c>
      <c r="L121" s="8" t="s">
        <v>669</v>
      </c>
      <c r="M121" s="8" t="s">
        <v>46</v>
      </c>
      <c r="N121" s="8" t="s">
        <v>87</v>
      </c>
      <c r="O121" s="8" t="s">
        <v>30</v>
      </c>
    </row>
    <row r="122" spans="1:15">
      <c r="A122" s="8" t="s">
        <v>318</v>
      </c>
      <c r="B122" s="9">
        <v>46219</v>
      </c>
      <c r="C122" s="8" t="s">
        <v>148</v>
      </c>
      <c r="D122" s="8" t="s">
        <v>126</v>
      </c>
      <c r="E122" s="8" t="s">
        <v>183</v>
      </c>
      <c r="F122" s="8" t="s">
        <v>19</v>
      </c>
      <c r="G122" s="8" t="s">
        <v>20</v>
      </c>
      <c r="H122" s="8">
        <v>1</v>
      </c>
      <c r="I122" s="8">
        <v>33500000</v>
      </c>
      <c r="J122" s="8">
        <v>1005000</v>
      </c>
      <c r="K122" s="8">
        <v>32495000</v>
      </c>
      <c r="L122" s="8" t="s">
        <v>669</v>
      </c>
      <c r="M122" s="8" t="s">
        <v>21</v>
      </c>
      <c r="N122" s="8" t="s">
        <v>22</v>
      </c>
      <c r="O122" s="8" t="s">
        <v>39</v>
      </c>
    </row>
    <row r="123" spans="1:15">
      <c r="A123" s="8" t="s">
        <v>319</v>
      </c>
      <c r="B123" s="9">
        <v>46219</v>
      </c>
      <c r="C123" s="8" t="s">
        <v>97</v>
      </c>
      <c r="D123" s="8" t="s">
        <v>201</v>
      </c>
      <c r="E123" s="8" t="s">
        <v>320</v>
      </c>
      <c r="F123" s="8" t="s">
        <v>99</v>
      </c>
      <c r="G123" s="8" t="s">
        <v>100</v>
      </c>
      <c r="H123" s="8">
        <v>1</v>
      </c>
      <c r="I123" s="8">
        <v>29800000</v>
      </c>
      <c r="J123" s="8">
        <v>894000</v>
      </c>
      <c r="K123" s="8">
        <v>28906000</v>
      </c>
      <c r="L123" s="8" t="s">
        <v>669</v>
      </c>
      <c r="M123" s="8" t="s">
        <v>29</v>
      </c>
      <c r="N123" s="8" t="s">
        <v>22</v>
      </c>
      <c r="O123" s="8" t="s">
        <v>39</v>
      </c>
    </row>
    <row r="124" spans="1:15">
      <c r="A124" s="8" t="s">
        <v>321</v>
      </c>
      <c r="B124" s="9">
        <v>46216</v>
      </c>
      <c r="C124" s="8" t="s">
        <v>71</v>
      </c>
      <c r="D124" s="8" t="s">
        <v>54</v>
      </c>
      <c r="E124" s="8" t="s">
        <v>322</v>
      </c>
      <c r="F124" s="8" t="s">
        <v>44</v>
      </c>
      <c r="G124" s="8" t="s">
        <v>45</v>
      </c>
      <c r="H124" s="8">
        <v>1</v>
      </c>
      <c r="I124" s="8">
        <v>24600000</v>
      </c>
      <c r="J124" s="8">
        <v>492000</v>
      </c>
      <c r="K124" s="8">
        <v>24108000</v>
      </c>
      <c r="L124" s="8" t="s">
        <v>669</v>
      </c>
      <c r="M124" s="8" t="s">
        <v>46</v>
      </c>
      <c r="N124" s="8" t="s">
        <v>22</v>
      </c>
      <c r="O124" s="8" t="s">
        <v>39</v>
      </c>
    </row>
    <row r="125" spans="1:15">
      <c r="A125" s="8" t="s">
        <v>323</v>
      </c>
      <c r="B125" s="9">
        <v>46220</v>
      </c>
      <c r="C125" s="8" t="s">
        <v>48</v>
      </c>
      <c r="D125" s="8" t="s">
        <v>42</v>
      </c>
      <c r="E125" s="8" t="s">
        <v>324</v>
      </c>
      <c r="F125" s="8" t="s">
        <v>19</v>
      </c>
      <c r="G125" s="8" t="s">
        <v>20</v>
      </c>
      <c r="H125" s="8">
        <v>1</v>
      </c>
      <c r="I125" s="8">
        <v>33500000</v>
      </c>
      <c r="J125" s="8">
        <v>335000</v>
      </c>
      <c r="K125" s="8">
        <v>33165000</v>
      </c>
      <c r="L125" s="8" t="s">
        <v>669</v>
      </c>
      <c r="M125" s="8" t="s">
        <v>46</v>
      </c>
      <c r="N125" s="8" t="s">
        <v>22</v>
      </c>
      <c r="O125" s="8" t="s">
        <v>30</v>
      </c>
    </row>
    <row r="126" spans="1:15">
      <c r="A126" s="8" t="s">
        <v>325</v>
      </c>
      <c r="B126" s="9">
        <v>46219</v>
      </c>
      <c r="C126" s="8" t="s">
        <v>48</v>
      </c>
      <c r="D126" s="8" t="s">
        <v>670</v>
      </c>
      <c r="E126" s="8" t="s">
        <v>280</v>
      </c>
      <c r="F126" s="8" t="s">
        <v>142</v>
      </c>
      <c r="G126" s="8" t="s">
        <v>143</v>
      </c>
      <c r="H126" s="8">
        <v>1</v>
      </c>
      <c r="I126" s="8">
        <v>18900000</v>
      </c>
      <c r="J126" s="8">
        <v>378000</v>
      </c>
      <c r="K126" s="8">
        <v>18522000</v>
      </c>
      <c r="L126" s="8" t="s">
        <v>669</v>
      </c>
      <c r="M126" s="8" t="s">
        <v>21</v>
      </c>
      <c r="N126" s="8" t="s">
        <v>22</v>
      </c>
      <c r="O126" s="8" t="s">
        <v>30</v>
      </c>
    </row>
    <row r="127" spans="1:15">
      <c r="A127" s="8" t="s">
        <v>326</v>
      </c>
      <c r="B127" s="9">
        <v>46217</v>
      </c>
      <c r="C127" s="8" t="s">
        <v>71</v>
      </c>
      <c r="D127" s="8" t="s">
        <v>66</v>
      </c>
      <c r="E127" s="8" t="s">
        <v>327</v>
      </c>
      <c r="F127" s="8" t="s">
        <v>99</v>
      </c>
      <c r="G127" s="8" t="s">
        <v>100</v>
      </c>
      <c r="H127" s="8">
        <v>1</v>
      </c>
      <c r="I127" s="8">
        <v>29800000</v>
      </c>
      <c r="J127" s="8">
        <v>596000</v>
      </c>
      <c r="K127" s="8">
        <v>29204000</v>
      </c>
      <c r="L127" s="8" t="s">
        <v>669</v>
      </c>
      <c r="M127" s="8" t="s">
        <v>38</v>
      </c>
      <c r="N127" s="8" t="s">
        <v>22</v>
      </c>
      <c r="O127" s="8" t="s">
        <v>23</v>
      </c>
    </row>
    <row r="128" spans="1:15">
      <c r="A128" s="8" t="s">
        <v>328</v>
      </c>
      <c r="B128" s="9">
        <v>46220</v>
      </c>
      <c r="C128" s="8" t="s">
        <v>26</v>
      </c>
      <c r="D128" s="8" t="s">
        <v>113</v>
      </c>
      <c r="E128" s="8" t="s">
        <v>329</v>
      </c>
      <c r="F128" s="8" t="s">
        <v>152</v>
      </c>
      <c r="G128" s="8" t="s">
        <v>153</v>
      </c>
      <c r="H128" s="8">
        <v>1</v>
      </c>
      <c r="I128" s="8">
        <v>27400000</v>
      </c>
      <c r="J128" s="8">
        <v>0</v>
      </c>
      <c r="K128" s="8">
        <v>27400000</v>
      </c>
      <c r="L128" s="8" t="s">
        <v>669</v>
      </c>
      <c r="M128" s="8" t="s">
        <v>38</v>
      </c>
      <c r="N128" s="8" t="s">
        <v>82</v>
      </c>
      <c r="O128" s="8" t="s">
        <v>77</v>
      </c>
    </row>
    <row r="129" spans="1:15">
      <c r="A129" s="8" t="s">
        <v>330</v>
      </c>
      <c r="B129" s="9">
        <v>46221</v>
      </c>
      <c r="C129" s="8" t="s">
        <v>26</v>
      </c>
      <c r="D129" s="8" t="s">
        <v>670</v>
      </c>
      <c r="E129" s="8" t="s">
        <v>331</v>
      </c>
      <c r="F129" s="8" t="s">
        <v>152</v>
      </c>
      <c r="G129" s="8" t="s">
        <v>153</v>
      </c>
      <c r="H129" s="8">
        <v>1</v>
      </c>
      <c r="I129" s="8">
        <v>27400000</v>
      </c>
      <c r="J129" s="8">
        <v>0</v>
      </c>
      <c r="K129" s="8">
        <v>27400000</v>
      </c>
      <c r="L129" s="8" t="s">
        <v>669</v>
      </c>
      <c r="M129" s="8" t="s">
        <v>38</v>
      </c>
      <c r="N129" s="8" t="s">
        <v>82</v>
      </c>
      <c r="O129" s="8" t="s">
        <v>39</v>
      </c>
    </row>
    <row r="130" spans="1:15">
      <c r="A130" s="8" t="s">
        <v>332</v>
      </c>
      <c r="B130" s="9">
        <v>46221</v>
      </c>
      <c r="C130" s="8" t="s">
        <v>71</v>
      </c>
      <c r="D130" s="8" t="s">
        <v>34</v>
      </c>
      <c r="E130" s="8" t="s">
        <v>333</v>
      </c>
      <c r="F130" s="8" t="s">
        <v>99</v>
      </c>
      <c r="G130" s="8" t="s">
        <v>100</v>
      </c>
      <c r="H130" s="8">
        <v>1</v>
      </c>
      <c r="I130" s="8">
        <v>29800000</v>
      </c>
      <c r="J130" s="8">
        <v>298000</v>
      </c>
      <c r="K130" s="8">
        <v>29502000</v>
      </c>
      <c r="L130" s="8" t="s">
        <v>669</v>
      </c>
      <c r="M130" s="8" t="s">
        <v>29</v>
      </c>
      <c r="N130" s="8" t="s">
        <v>22</v>
      </c>
      <c r="O130" s="8" t="s">
        <v>23</v>
      </c>
    </row>
    <row r="131" spans="1:15">
      <c r="A131" s="8" t="s">
        <v>334</v>
      </c>
      <c r="B131" s="9">
        <v>46218</v>
      </c>
      <c r="C131" s="8" t="s">
        <v>71</v>
      </c>
      <c r="D131" s="8" t="s">
        <v>98</v>
      </c>
      <c r="E131" s="8" t="s">
        <v>291</v>
      </c>
      <c r="F131" s="8" t="s">
        <v>91</v>
      </c>
      <c r="G131" s="8" t="s">
        <v>92</v>
      </c>
      <c r="H131" s="8">
        <v>1</v>
      </c>
      <c r="I131" s="8">
        <v>26900000</v>
      </c>
      <c r="J131" s="8">
        <v>0</v>
      </c>
      <c r="K131" s="8">
        <v>26900000</v>
      </c>
      <c r="L131" s="8" t="s">
        <v>669</v>
      </c>
      <c r="M131" s="8" t="s">
        <v>38</v>
      </c>
      <c r="N131" s="8" t="s">
        <v>82</v>
      </c>
      <c r="O131" s="8" t="s">
        <v>30</v>
      </c>
    </row>
    <row r="132" spans="1:15">
      <c r="A132" s="8" t="s">
        <v>335</v>
      </c>
      <c r="B132" s="9">
        <v>46217</v>
      </c>
      <c r="C132" s="8" t="s">
        <v>155</v>
      </c>
      <c r="D132" s="8" t="s">
        <v>72</v>
      </c>
      <c r="E132" s="8" t="s">
        <v>336</v>
      </c>
      <c r="F132" s="8" t="s">
        <v>36</v>
      </c>
      <c r="G132" s="8" t="s">
        <v>37</v>
      </c>
      <c r="H132" s="8">
        <v>1</v>
      </c>
      <c r="I132" s="8">
        <v>22300000</v>
      </c>
      <c r="J132" s="8">
        <v>669000</v>
      </c>
      <c r="K132" s="8">
        <v>21631000</v>
      </c>
      <c r="L132" s="8" t="s">
        <v>669</v>
      </c>
      <c r="M132" s="8" t="s">
        <v>46</v>
      </c>
      <c r="N132" s="8" t="s">
        <v>22</v>
      </c>
      <c r="O132" s="8" t="s">
        <v>39</v>
      </c>
    </row>
    <row r="133" spans="1:15">
      <c r="A133" s="8" t="s">
        <v>337</v>
      </c>
      <c r="B133" s="9">
        <v>46218</v>
      </c>
      <c r="C133" s="8" t="s">
        <v>33</v>
      </c>
      <c r="D133" s="8" t="s">
        <v>98</v>
      </c>
      <c r="E133" s="8" t="s">
        <v>146</v>
      </c>
      <c r="F133" s="8" t="s">
        <v>99</v>
      </c>
      <c r="G133" s="8" t="s">
        <v>100</v>
      </c>
      <c r="H133" s="8">
        <v>1</v>
      </c>
      <c r="I133" s="8">
        <v>29800000</v>
      </c>
      <c r="J133" s="8">
        <v>1490000</v>
      </c>
      <c r="K133" s="8">
        <v>28310000</v>
      </c>
      <c r="L133" s="8" t="s">
        <v>669</v>
      </c>
      <c r="M133" s="8" t="s">
        <v>29</v>
      </c>
      <c r="N133" s="8" t="s">
        <v>22</v>
      </c>
      <c r="O133" s="8" t="s">
        <v>23</v>
      </c>
    </row>
    <row r="134" spans="1:15">
      <c r="A134" s="8" t="s">
        <v>338</v>
      </c>
      <c r="B134" s="9">
        <v>46219</v>
      </c>
      <c r="C134" s="8" t="s">
        <v>85</v>
      </c>
      <c r="D134" s="8" t="s">
        <v>168</v>
      </c>
      <c r="E134" s="8" t="s">
        <v>339</v>
      </c>
      <c r="F134" s="8" t="s">
        <v>99</v>
      </c>
      <c r="G134" s="8" t="s">
        <v>100</v>
      </c>
      <c r="H134" s="8">
        <v>1</v>
      </c>
      <c r="I134" s="8">
        <v>29800000</v>
      </c>
      <c r="J134" s="8">
        <v>0</v>
      </c>
      <c r="K134" s="8">
        <v>29800000</v>
      </c>
      <c r="L134" s="8" t="s">
        <v>669</v>
      </c>
      <c r="M134" s="8" t="s">
        <v>38</v>
      </c>
      <c r="N134" s="8" t="s">
        <v>22</v>
      </c>
      <c r="O134" s="8" t="s">
        <v>39</v>
      </c>
    </row>
    <row r="135" spans="1:15">
      <c r="A135" s="8" t="s">
        <v>340</v>
      </c>
      <c r="B135" s="9">
        <v>46222</v>
      </c>
      <c r="C135" s="8" t="s">
        <v>48</v>
      </c>
      <c r="D135" s="8" t="s">
        <v>66</v>
      </c>
      <c r="E135" s="8" t="s">
        <v>341</v>
      </c>
      <c r="F135" s="8" t="s">
        <v>36</v>
      </c>
      <c r="G135" s="8" t="s">
        <v>37</v>
      </c>
      <c r="H135" s="8">
        <v>1</v>
      </c>
      <c r="I135" s="8">
        <v>22300000</v>
      </c>
      <c r="J135" s="8">
        <v>669000</v>
      </c>
      <c r="K135" s="8">
        <v>21631000</v>
      </c>
      <c r="L135" s="8" t="s">
        <v>669</v>
      </c>
      <c r="M135" s="8" t="s">
        <v>29</v>
      </c>
      <c r="N135" s="8" t="s">
        <v>22</v>
      </c>
      <c r="O135" s="8" t="s">
        <v>39</v>
      </c>
    </row>
    <row r="136" spans="1:15">
      <c r="A136" s="8" t="s">
        <v>342</v>
      </c>
      <c r="B136" s="9">
        <v>46216</v>
      </c>
      <c r="C136" s="8" t="s">
        <v>48</v>
      </c>
      <c r="D136" s="8" t="s">
        <v>27</v>
      </c>
      <c r="E136" s="8" t="s">
        <v>329</v>
      </c>
      <c r="F136" s="8" t="s">
        <v>152</v>
      </c>
      <c r="G136" s="8" t="s">
        <v>153</v>
      </c>
      <c r="H136" s="8">
        <v>1</v>
      </c>
      <c r="I136" s="8">
        <v>27400000</v>
      </c>
      <c r="J136" s="8">
        <v>0</v>
      </c>
      <c r="K136" s="8">
        <v>0</v>
      </c>
      <c r="L136" s="8" t="s">
        <v>671</v>
      </c>
      <c r="M136" s="8" t="s">
        <v>38</v>
      </c>
      <c r="N136" s="8" t="s">
        <v>22</v>
      </c>
      <c r="O136" s="8" t="s">
        <v>30</v>
      </c>
    </row>
    <row r="137" spans="1:15">
      <c r="A137" s="8" t="s">
        <v>343</v>
      </c>
      <c r="B137" s="9">
        <v>46220</v>
      </c>
      <c r="C137" s="8" t="s">
        <v>65</v>
      </c>
      <c r="D137" s="8" t="s">
        <v>54</v>
      </c>
      <c r="E137" s="8" t="s">
        <v>243</v>
      </c>
      <c r="F137" s="8" t="s">
        <v>152</v>
      </c>
      <c r="G137" s="8" t="s">
        <v>153</v>
      </c>
      <c r="H137" s="8">
        <v>1</v>
      </c>
      <c r="I137" s="8">
        <v>27400000</v>
      </c>
      <c r="J137" s="8">
        <v>548000</v>
      </c>
      <c r="K137" s="8">
        <v>26852000</v>
      </c>
      <c r="L137" s="8" t="s">
        <v>669</v>
      </c>
      <c r="M137" s="8" t="s">
        <v>46</v>
      </c>
      <c r="N137" s="8" t="s">
        <v>82</v>
      </c>
      <c r="O137" s="8" t="s">
        <v>39</v>
      </c>
    </row>
    <row r="138" spans="1:15">
      <c r="A138" s="8" t="s">
        <v>344</v>
      </c>
      <c r="B138" s="9">
        <v>46217</v>
      </c>
      <c r="C138" s="8" t="s">
        <v>33</v>
      </c>
      <c r="D138" s="8" t="s">
        <v>17</v>
      </c>
      <c r="E138" s="8" t="s">
        <v>345</v>
      </c>
      <c r="F138" s="8" t="s">
        <v>19</v>
      </c>
      <c r="G138" s="8" t="s">
        <v>20</v>
      </c>
      <c r="H138" s="8">
        <v>1</v>
      </c>
      <c r="I138" s="8">
        <v>33500000</v>
      </c>
      <c r="J138" s="8">
        <v>1675000</v>
      </c>
      <c r="K138" s="8">
        <v>31825000</v>
      </c>
      <c r="L138" s="8" t="s">
        <v>669</v>
      </c>
      <c r="M138" s="8" t="s">
        <v>46</v>
      </c>
      <c r="N138" s="8" t="s">
        <v>22</v>
      </c>
      <c r="O138" s="8" t="s">
        <v>77</v>
      </c>
    </row>
    <row r="139" spans="1:15">
      <c r="A139" s="8" t="s">
        <v>346</v>
      </c>
      <c r="B139" s="9">
        <v>46220</v>
      </c>
      <c r="C139" s="8" t="s">
        <v>33</v>
      </c>
      <c r="D139" s="8" t="s">
        <v>58</v>
      </c>
      <c r="E139" s="8" t="s">
        <v>347</v>
      </c>
      <c r="F139" s="8" t="s">
        <v>142</v>
      </c>
      <c r="G139" s="8" t="s">
        <v>143</v>
      </c>
      <c r="H139" s="8">
        <v>1</v>
      </c>
      <c r="I139" s="8">
        <v>18900000</v>
      </c>
      <c r="J139" s="8">
        <v>0</v>
      </c>
      <c r="K139" s="8">
        <v>18900000</v>
      </c>
      <c r="L139" s="8" t="s">
        <v>669</v>
      </c>
      <c r="M139" s="8" t="s">
        <v>46</v>
      </c>
      <c r="N139" s="8" t="s">
        <v>82</v>
      </c>
      <c r="O139" s="8" t="s">
        <v>77</v>
      </c>
    </row>
    <row r="140" spans="1:15">
      <c r="A140" s="8" t="s">
        <v>350</v>
      </c>
      <c r="B140" s="9">
        <v>46219</v>
      </c>
      <c r="C140" s="8" t="s">
        <v>16</v>
      </c>
      <c r="D140" s="8" t="s">
        <v>126</v>
      </c>
      <c r="E140" s="8" t="s">
        <v>351</v>
      </c>
      <c r="F140" s="8" t="s">
        <v>152</v>
      </c>
      <c r="G140" s="8" t="s">
        <v>153</v>
      </c>
      <c r="H140" s="8">
        <v>1</v>
      </c>
      <c r="I140" s="8">
        <v>27400000</v>
      </c>
      <c r="J140" s="8">
        <v>0</v>
      </c>
      <c r="K140" s="8">
        <v>27400000</v>
      </c>
      <c r="L140" s="8" t="s">
        <v>669</v>
      </c>
      <c r="M140" s="8" t="s">
        <v>29</v>
      </c>
      <c r="N140" s="8" t="s">
        <v>22</v>
      </c>
      <c r="O140" s="8" t="s">
        <v>77</v>
      </c>
    </row>
    <row r="141" spans="1:15">
      <c r="A141" s="8" t="s">
        <v>352</v>
      </c>
      <c r="B141" s="9">
        <v>46218</v>
      </c>
      <c r="C141" s="8" t="s">
        <v>33</v>
      </c>
      <c r="D141" s="8" t="s">
        <v>49</v>
      </c>
      <c r="E141" s="8" t="s">
        <v>123</v>
      </c>
      <c r="F141" s="8" t="s">
        <v>19</v>
      </c>
      <c r="G141" s="8" t="s">
        <v>20</v>
      </c>
      <c r="H141" s="8">
        <v>1</v>
      </c>
      <c r="I141" s="8">
        <v>33500000</v>
      </c>
      <c r="J141" s="8">
        <v>670000</v>
      </c>
      <c r="K141" s="8">
        <v>32830000</v>
      </c>
      <c r="L141" s="8" t="s">
        <v>669</v>
      </c>
      <c r="M141" s="8" t="s">
        <v>21</v>
      </c>
      <c r="N141" s="8" t="s">
        <v>82</v>
      </c>
      <c r="O141" s="8" t="s">
        <v>77</v>
      </c>
    </row>
    <row r="142" spans="1:15">
      <c r="A142" s="8" t="s">
        <v>353</v>
      </c>
      <c r="B142" s="9">
        <v>46222</v>
      </c>
      <c r="C142" s="8" t="s">
        <v>155</v>
      </c>
      <c r="D142" s="8" t="s">
        <v>242</v>
      </c>
      <c r="E142" s="8" t="s">
        <v>223</v>
      </c>
      <c r="F142" s="8" t="s">
        <v>68</v>
      </c>
      <c r="G142" s="8" t="s">
        <v>69</v>
      </c>
      <c r="H142" s="8">
        <v>1</v>
      </c>
      <c r="I142" s="8">
        <v>17800000</v>
      </c>
      <c r="J142" s="8">
        <v>890000</v>
      </c>
      <c r="K142" s="8">
        <v>16910000</v>
      </c>
      <c r="L142" s="8" t="s">
        <v>669</v>
      </c>
      <c r="M142" s="8" t="s">
        <v>29</v>
      </c>
      <c r="N142" s="8" t="s">
        <v>22</v>
      </c>
      <c r="O142" s="8" t="s">
        <v>77</v>
      </c>
    </row>
    <row r="143" spans="1:15">
      <c r="A143" s="8" t="s">
        <v>354</v>
      </c>
      <c r="B143" s="9">
        <v>46217</v>
      </c>
      <c r="C143" s="8" t="s">
        <v>85</v>
      </c>
      <c r="D143" s="8" t="s">
        <v>66</v>
      </c>
      <c r="E143" s="8" t="s">
        <v>355</v>
      </c>
      <c r="F143" s="8" t="s">
        <v>19</v>
      </c>
      <c r="G143" s="8" t="s">
        <v>20</v>
      </c>
      <c r="H143" s="8">
        <v>1</v>
      </c>
      <c r="I143" s="8">
        <v>33500000</v>
      </c>
      <c r="J143" s="8">
        <v>0</v>
      </c>
      <c r="K143" s="8">
        <v>33500000</v>
      </c>
      <c r="L143" s="8" t="s">
        <v>669</v>
      </c>
      <c r="M143" s="8" t="s">
        <v>46</v>
      </c>
      <c r="N143" s="8" t="s">
        <v>22</v>
      </c>
      <c r="O143" s="8" t="s">
        <v>30</v>
      </c>
    </row>
    <row r="144" spans="1:15">
      <c r="A144" s="8" t="s">
        <v>356</v>
      </c>
      <c r="B144" s="9">
        <v>46222</v>
      </c>
      <c r="C144" s="8" t="s">
        <v>48</v>
      </c>
      <c r="D144" s="8" t="s">
        <v>54</v>
      </c>
      <c r="E144" s="8" t="s">
        <v>351</v>
      </c>
      <c r="F144" s="8" t="s">
        <v>99</v>
      </c>
      <c r="G144" s="8" t="s">
        <v>100</v>
      </c>
      <c r="H144" s="8">
        <v>1</v>
      </c>
      <c r="I144" s="8">
        <v>29800000</v>
      </c>
      <c r="J144" s="8">
        <v>894000</v>
      </c>
      <c r="K144" s="8">
        <v>28906000</v>
      </c>
      <c r="L144" s="8" t="s">
        <v>669</v>
      </c>
      <c r="M144" s="8" t="s">
        <v>29</v>
      </c>
      <c r="N144" s="8" t="s">
        <v>82</v>
      </c>
      <c r="O144" s="8" t="s">
        <v>39</v>
      </c>
    </row>
    <row r="145" spans="1:15">
      <c r="A145" s="8" t="s">
        <v>357</v>
      </c>
      <c r="B145" s="9">
        <v>46220</v>
      </c>
      <c r="C145" s="8" t="s">
        <v>71</v>
      </c>
      <c r="D145" s="8" t="s">
        <v>54</v>
      </c>
      <c r="E145" s="8" t="s">
        <v>95</v>
      </c>
      <c r="F145" s="8" t="s">
        <v>142</v>
      </c>
      <c r="G145" s="8" t="s">
        <v>143</v>
      </c>
      <c r="H145" s="8">
        <v>1</v>
      </c>
      <c r="I145" s="8">
        <v>18900000</v>
      </c>
      <c r="J145" s="8">
        <v>0</v>
      </c>
      <c r="K145" s="8">
        <v>18900000</v>
      </c>
      <c r="L145" s="8" t="s">
        <v>669</v>
      </c>
      <c r="M145" s="8" t="s">
        <v>46</v>
      </c>
      <c r="N145" s="8" t="s">
        <v>22</v>
      </c>
      <c r="O145" s="8" t="s">
        <v>77</v>
      </c>
    </row>
    <row r="146" spans="1:15">
      <c r="A146" s="8" t="s">
        <v>358</v>
      </c>
      <c r="B146" s="9">
        <v>46216</v>
      </c>
      <c r="C146" s="8" t="s">
        <v>71</v>
      </c>
      <c r="D146" s="8" t="s">
        <v>34</v>
      </c>
      <c r="E146" s="8" t="s">
        <v>245</v>
      </c>
      <c r="F146" s="8" t="s">
        <v>99</v>
      </c>
      <c r="G146" s="8" t="s">
        <v>100</v>
      </c>
      <c r="H146" s="8">
        <v>1</v>
      </c>
      <c r="I146" s="8">
        <v>29800000</v>
      </c>
      <c r="J146" s="8">
        <v>0</v>
      </c>
      <c r="K146" s="8">
        <v>29800000</v>
      </c>
      <c r="L146" s="8" t="s">
        <v>669</v>
      </c>
      <c r="M146" s="8" t="s">
        <v>29</v>
      </c>
      <c r="N146" s="8" t="s">
        <v>82</v>
      </c>
      <c r="O146" s="8" t="s">
        <v>30</v>
      </c>
    </row>
    <row r="147" spans="1:15">
      <c r="A147" s="8" t="s">
        <v>359</v>
      </c>
      <c r="B147" s="9">
        <v>46221</v>
      </c>
      <c r="C147" s="8" t="s">
        <v>16</v>
      </c>
      <c r="D147" s="8" t="s">
        <v>17</v>
      </c>
      <c r="E147" s="8" t="s">
        <v>265</v>
      </c>
      <c r="F147" s="8" t="s">
        <v>60</v>
      </c>
      <c r="G147" s="8" t="s">
        <v>61</v>
      </c>
      <c r="H147" s="8">
        <v>1</v>
      </c>
      <c r="I147" s="8">
        <v>21500000</v>
      </c>
      <c r="J147" s="8">
        <v>1075000</v>
      </c>
      <c r="K147" s="8">
        <v>20425000</v>
      </c>
      <c r="L147" s="8" t="s">
        <v>669</v>
      </c>
      <c r="M147" s="8" t="s">
        <v>38</v>
      </c>
      <c r="N147" s="8" t="s">
        <v>22</v>
      </c>
      <c r="O147" s="8" t="s">
        <v>77</v>
      </c>
    </row>
    <row r="148" spans="1:15">
      <c r="A148" s="8" t="s">
        <v>360</v>
      </c>
      <c r="B148" s="9">
        <v>46218</v>
      </c>
      <c r="C148" s="8" t="s">
        <v>71</v>
      </c>
      <c r="D148" s="8" t="s">
        <v>80</v>
      </c>
      <c r="E148" s="8" t="s">
        <v>202</v>
      </c>
      <c r="F148" s="8" t="s">
        <v>99</v>
      </c>
      <c r="G148" s="8" t="s">
        <v>100</v>
      </c>
      <c r="H148" s="8">
        <v>1</v>
      </c>
      <c r="I148" s="8">
        <v>29800000</v>
      </c>
      <c r="J148" s="8">
        <v>0</v>
      </c>
      <c r="K148" s="8">
        <v>29800000</v>
      </c>
      <c r="L148" s="8" t="s">
        <v>669</v>
      </c>
      <c r="M148" s="8" t="s">
        <v>38</v>
      </c>
      <c r="N148" s="8" t="s">
        <v>22</v>
      </c>
      <c r="O148" s="8" t="s">
        <v>23</v>
      </c>
    </row>
    <row r="149" spans="1:15">
      <c r="A149" s="8" t="s">
        <v>361</v>
      </c>
      <c r="B149" s="9">
        <v>46222</v>
      </c>
      <c r="C149" s="8" t="s">
        <v>71</v>
      </c>
      <c r="D149" s="8" t="s">
        <v>54</v>
      </c>
      <c r="E149" s="8" t="s">
        <v>120</v>
      </c>
      <c r="F149" s="8" t="s">
        <v>68</v>
      </c>
      <c r="G149" s="8" t="s">
        <v>69</v>
      </c>
      <c r="H149" s="8">
        <v>1</v>
      </c>
      <c r="I149" s="8">
        <v>17800000</v>
      </c>
      <c r="J149" s="8">
        <v>178000</v>
      </c>
      <c r="K149" s="8">
        <v>17622000</v>
      </c>
      <c r="L149" s="8" t="s">
        <v>669</v>
      </c>
      <c r="M149" s="8" t="s">
        <v>62</v>
      </c>
      <c r="N149" s="8" t="s">
        <v>22</v>
      </c>
      <c r="O149" s="8" t="s">
        <v>39</v>
      </c>
    </row>
    <row r="150" spans="1:15">
      <c r="A150" s="8" t="s">
        <v>363</v>
      </c>
      <c r="B150" s="9">
        <v>46221</v>
      </c>
      <c r="C150" s="8" t="s">
        <v>16</v>
      </c>
      <c r="D150" s="8" t="s">
        <v>49</v>
      </c>
      <c r="E150" s="8" t="s">
        <v>245</v>
      </c>
      <c r="F150" s="8" t="s">
        <v>19</v>
      </c>
      <c r="G150" s="8" t="s">
        <v>20</v>
      </c>
      <c r="H150" s="8">
        <v>1</v>
      </c>
      <c r="I150" s="8">
        <v>33500000</v>
      </c>
      <c r="J150" s="8">
        <v>335000</v>
      </c>
      <c r="K150" s="8">
        <v>33165000</v>
      </c>
      <c r="L150" s="8" t="s">
        <v>669</v>
      </c>
      <c r="M150" s="8" t="s">
        <v>62</v>
      </c>
      <c r="N150" s="8" t="s">
        <v>22</v>
      </c>
      <c r="O150" s="8" t="s">
        <v>23</v>
      </c>
    </row>
    <row r="151" spans="1:15">
      <c r="A151" s="8" t="s">
        <v>364</v>
      </c>
      <c r="B151" s="9">
        <v>46221</v>
      </c>
      <c r="C151" s="8" t="s">
        <v>48</v>
      </c>
      <c r="D151" s="8" t="s">
        <v>66</v>
      </c>
      <c r="E151" s="8" t="s">
        <v>50</v>
      </c>
      <c r="F151" s="8" t="s">
        <v>152</v>
      </c>
      <c r="G151" s="8" t="s">
        <v>153</v>
      </c>
      <c r="H151" s="8">
        <v>1</v>
      </c>
      <c r="I151" s="8">
        <v>27400000</v>
      </c>
      <c r="J151" s="8">
        <v>0</v>
      </c>
      <c r="K151" s="8">
        <v>27400000</v>
      </c>
      <c r="L151" s="8" t="s">
        <v>669</v>
      </c>
      <c r="M151" s="8" t="s">
        <v>38</v>
      </c>
      <c r="N151" s="8" t="s">
        <v>22</v>
      </c>
      <c r="O151" s="8" t="s">
        <v>39</v>
      </c>
    </row>
    <row r="152" spans="1:15">
      <c r="A152" s="8" t="s">
        <v>365</v>
      </c>
      <c r="B152" s="9">
        <v>46216</v>
      </c>
      <c r="C152" s="8" t="s">
        <v>16</v>
      </c>
      <c r="D152" s="8" t="s">
        <v>670</v>
      </c>
      <c r="E152" s="8" t="s">
        <v>243</v>
      </c>
      <c r="F152" s="8" t="s">
        <v>152</v>
      </c>
      <c r="G152" s="8" t="s">
        <v>153</v>
      </c>
      <c r="H152" s="8">
        <v>1</v>
      </c>
      <c r="I152" s="8">
        <v>27400000</v>
      </c>
      <c r="J152" s="8">
        <v>274000</v>
      </c>
      <c r="K152" s="8">
        <v>27126000</v>
      </c>
      <c r="L152" s="8" t="s">
        <v>669</v>
      </c>
      <c r="M152" s="8" t="s">
        <v>29</v>
      </c>
      <c r="N152" s="8" t="s">
        <v>22</v>
      </c>
      <c r="O152" s="8" t="s">
        <v>39</v>
      </c>
    </row>
    <row r="153" spans="1:15">
      <c r="A153" s="8" t="s">
        <v>366</v>
      </c>
      <c r="B153" s="9">
        <v>46216</v>
      </c>
      <c r="C153" s="8" t="s">
        <v>26</v>
      </c>
      <c r="D153" s="8" t="s">
        <v>145</v>
      </c>
      <c r="E153" s="8" t="s">
        <v>286</v>
      </c>
      <c r="F153" s="8" t="s">
        <v>51</v>
      </c>
      <c r="G153" s="8" t="s">
        <v>52</v>
      </c>
      <c r="H153" s="8">
        <v>2</v>
      </c>
      <c r="I153" s="8">
        <v>41000000</v>
      </c>
      <c r="J153" s="8">
        <v>4100000</v>
      </c>
      <c r="K153" s="8">
        <v>77900000</v>
      </c>
      <c r="L153" s="8" t="s">
        <v>669</v>
      </c>
      <c r="M153" s="8" t="s">
        <v>62</v>
      </c>
      <c r="N153" s="8" t="s">
        <v>87</v>
      </c>
      <c r="O153" s="8" t="s">
        <v>30</v>
      </c>
    </row>
    <row r="154" spans="1:15">
      <c r="A154" s="8" t="s">
        <v>367</v>
      </c>
      <c r="B154" s="9">
        <v>46217</v>
      </c>
      <c r="C154" s="8" t="s">
        <v>182</v>
      </c>
      <c r="D154" s="8" t="s">
        <v>34</v>
      </c>
      <c r="E154" s="8" t="s">
        <v>368</v>
      </c>
      <c r="F154" s="8" t="s">
        <v>152</v>
      </c>
      <c r="G154" s="8" t="s">
        <v>153</v>
      </c>
      <c r="H154" s="8">
        <v>1</v>
      </c>
      <c r="I154" s="8">
        <v>27400000</v>
      </c>
      <c r="J154" s="8">
        <v>1370000</v>
      </c>
      <c r="K154" s="8">
        <v>26030000</v>
      </c>
      <c r="L154" s="8" t="s">
        <v>669</v>
      </c>
      <c r="M154" s="8" t="s">
        <v>62</v>
      </c>
      <c r="N154" s="8" t="s">
        <v>22</v>
      </c>
      <c r="O154" s="8" t="s">
        <v>23</v>
      </c>
    </row>
    <row r="155" spans="1:15">
      <c r="A155" s="8" t="s">
        <v>369</v>
      </c>
      <c r="B155" s="9">
        <v>46219</v>
      </c>
      <c r="C155" s="8" t="s">
        <v>97</v>
      </c>
      <c r="D155" s="8" t="s">
        <v>58</v>
      </c>
      <c r="E155" s="8" t="s">
        <v>370</v>
      </c>
      <c r="F155" s="8" t="s">
        <v>19</v>
      </c>
      <c r="G155" s="8" t="s">
        <v>20</v>
      </c>
      <c r="H155" s="8">
        <v>1</v>
      </c>
      <c r="I155" s="8">
        <v>33500000</v>
      </c>
      <c r="J155" s="8">
        <v>335000</v>
      </c>
      <c r="K155" s="8">
        <v>33165000</v>
      </c>
      <c r="L155" s="8" t="s">
        <v>669</v>
      </c>
      <c r="M155" s="8" t="s">
        <v>21</v>
      </c>
      <c r="N155" s="8" t="s">
        <v>22</v>
      </c>
      <c r="O155" s="8" t="s">
        <v>77</v>
      </c>
    </row>
    <row r="156" spans="1:15">
      <c r="A156" s="8" t="s">
        <v>371</v>
      </c>
      <c r="B156" s="9">
        <v>46216</v>
      </c>
      <c r="C156" s="8" t="s">
        <v>26</v>
      </c>
      <c r="D156" s="8" t="s">
        <v>98</v>
      </c>
      <c r="E156" s="8" t="s">
        <v>372</v>
      </c>
      <c r="F156" s="8" t="s">
        <v>44</v>
      </c>
      <c r="G156" s="8" t="s">
        <v>45</v>
      </c>
      <c r="H156" s="8">
        <v>1</v>
      </c>
      <c r="I156" s="8">
        <v>24600000</v>
      </c>
      <c r="J156" s="8">
        <v>0</v>
      </c>
      <c r="K156" s="8">
        <v>24600000</v>
      </c>
      <c r="L156" s="8" t="s">
        <v>669</v>
      </c>
      <c r="M156" s="8" t="s">
        <v>21</v>
      </c>
      <c r="N156" s="8" t="s">
        <v>22</v>
      </c>
      <c r="O156" s="8" t="s">
        <v>23</v>
      </c>
    </row>
    <row r="157" spans="1:15">
      <c r="A157" s="8" t="s">
        <v>373</v>
      </c>
      <c r="B157" s="9">
        <v>46220</v>
      </c>
      <c r="C157" s="8" t="s">
        <v>182</v>
      </c>
      <c r="D157" s="8" t="s">
        <v>54</v>
      </c>
      <c r="E157" s="8" t="s">
        <v>374</v>
      </c>
      <c r="F157" s="8" t="s">
        <v>60</v>
      </c>
      <c r="G157" s="8" t="s">
        <v>61</v>
      </c>
      <c r="H157" s="8">
        <v>1</v>
      </c>
      <c r="I157" s="8">
        <v>21500000</v>
      </c>
      <c r="J157" s="8">
        <v>1075000</v>
      </c>
      <c r="K157" s="8">
        <v>20425000</v>
      </c>
      <c r="L157" s="8" t="s">
        <v>669</v>
      </c>
      <c r="M157" s="8" t="s">
        <v>62</v>
      </c>
      <c r="N157" s="8" t="s">
        <v>22</v>
      </c>
      <c r="O157" s="8" t="s">
        <v>77</v>
      </c>
    </row>
    <row r="158" spans="1:15">
      <c r="A158" s="8" t="s">
        <v>375</v>
      </c>
      <c r="B158" s="9">
        <v>46217</v>
      </c>
      <c r="C158" s="8" t="s">
        <v>33</v>
      </c>
      <c r="D158" s="8" t="s">
        <v>75</v>
      </c>
      <c r="E158" s="8" t="s">
        <v>221</v>
      </c>
      <c r="F158" s="8" t="s">
        <v>99</v>
      </c>
      <c r="G158" s="8" t="s">
        <v>100</v>
      </c>
      <c r="H158" s="8">
        <v>1</v>
      </c>
      <c r="I158" s="8">
        <v>29800000</v>
      </c>
      <c r="J158" s="8">
        <v>298000</v>
      </c>
      <c r="K158" s="8">
        <v>29502000</v>
      </c>
      <c r="L158" s="8" t="s">
        <v>669</v>
      </c>
      <c r="M158" s="8" t="s">
        <v>46</v>
      </c>
      <c r="N158" s="8" t="s">
        <v>87</v>
      </c>
      <c r="O158" s="8" t="s">
        <v>30</v>
      </c>
    </row>
    <row r="159" spans="1:15">
      <c r="A159" s="8" t="s">
        <v>376</v>
      </c>
      <c r="B159" s="9">
        <v>46221</v>
      </c>
      <c r="C159" s="8" t="s">
        <v>16</v>
      </c>
      <c r="D159" s="8" t="s">
        <v>34</v>
      </c>
      <c r="E159" s="8" t="s">
        <v>289</v>
      </c>
      <c r="F159" s="8" t="s">
        <v>19</v>
      </c>
      <c r="G159" s="8" t="s">
        <v>20</v>
      </c>
      <c r="H159" s="8">
        <v>1</v>
      </c>
      <c r="I159" s="8">
        <v>33500000</v>
      </c>
      <c r="J159" s="8">
        <v>0</v>
      </c>
      <c r="K159" s="8">
        <v>33500000</v>
      </c>
      <c r="L159" s="8" t="s">
        <v>669</v>
      </c>
      <c r="M159" s="8" t="s">
        <v>21</v>
      </c>
      <c r="N159" s="8" t="s">
        <v>22</v>
      </c>
      <c r="O159" s="8" t="s">
        <v>77</v>
      </c>
    </row>
    <row r="160" spans="1:15">
      <c r="A160" s="8" t="s">
        <v>377</v>
      </c>
      <c r="B160" s="9">
        <v>46220</v>
      </c>
      <c r="C160" s="8" t="s">
        <v>85</v>
      </c>
      <c r="D160" s="8" t="s">
        <v>670</v>
      </c>
      <c r="E160" s="8" t="s">
        <v>50</v>
      </c>
      <c r="F160" s="8" t="s">
        <v>19</v>
      </c>
      <c r="G160" s="8" t="s">
        <v>20</v>
      </c>
      <c r="H160" s="8">
        <v>1</v>
      </c>
      <c r="I160" s="8">
        <v>33500000</v>
      </c>
      <c r="J160" s="8">
        <v>0</v>
      </c>
      <c r="K160" s="8">
        <v>33500000</v>
      </c>
      <c r="L160" s="8" t="s">
        <v>669</v>
      </c>
      <c r="M160" s="8" t="s">
        <v>62</v>
      </c>
      <c r="N160" s="8" t="s">
        <v>22</v>
      </c>
      <c r="O160" s="8" t="s">
        <v>30</v>
      </c>
    </row>
    <row r="161" spans="1:15">
      <c r="A161" s="8" t="s">
        <v>378</v>
      </c>
      <c r="B161" s="9">
        <v>46217</v>
      </c>
      <c r="C161" s="8" t="s">
        <v>155</v>
      </c>
      <c r="D161" s="8" t="s">
        <v>130</v>
      </c>
      <c r="E161" s="8" t="s">
        <v>379</v>
      </c>
      <c r="F161" s="8" t="s">
        <v>19</v>
      </c>
      <c r="G161" s="8" t="s">
        <v>20</v>
      </c>
      <c r="H161" s="8">
        <v>1</v>
      </c>
      <c r="I161" s="8">
        <v>33500000</v>
      </c>
      <c r="J161" s="8">
        <v>0</v>
      </c>
      <c r="K161" s="8">
        <v>33500000</v>
      </c>
      <c r="L161" s="8" t="s">
        <v>669</v>
      </c>
      <c r="M161" s="8" t="s">
        <v>21</v>
      </c>
      <c r="N161" s="8" t="s">
        <v>22</v>
      </c>
      <c r="O161" s="8" t="s">
        <v>39</v>
      </c>
    </row>
    <row r="162" spans="1:15">
      <c r="A162" s="8" t="s">
        <v>380</v>
      </c>
      <c r="B162" s="9">
        <v>46217</v>
      </c>
      <c r="C162" s="8" t="s">
        <v>155</v>
      </c>
      <c r="D162" s="8" t="s">
        <v>66</v>
      </c>
      <c r="E162" s="8" t="s">
        <v>381</v>
      </c>
      <c r="F162" s="8" t="s">
        <v>51</v>
      </c>
      <c r="G162" s="8" t="s">
        <v>52</v>
      </c>
      <c r="H162" s="8">
        <v>1</v>
      </c>
      <c r="I162" s="8">
        <v>41000000</v>
      </c>
      <c r="J162" s="8">
        <v>2050000</v>
      </c>
      <c r="K162" s="8">
        <v>38950000</v>
      </c>
      <c r="L162" s="8" t="s">
        <v>669</v>
      </c>
      <c r="M162" s="8" t="s">
        <v>46</v>
      </c>
      <c r="N162" s="8" t="s">
        <v>22</v>
      </c>
      <c r="O162" s="8" t="s">
        <v>23</v>
      </c>
    </row>
    <row r="163" spans="1:15">
      <c r="A163" s="8" t="s">
        <v>382</v>
      </c>
      <c r="B163" s="9">
        <v>46221</v>
      </c>
      <c r="C163" s="8" t="s">
        <v>112</v>
      </c>
      <c r="D163" s="8" t="s">
        <v>75</v>
      </c>
      <c r="E163" s="8" t="s">
        <v>43</v>
      </c>
      <c r="F163" s="8" t="s">
        <v>19</v>
      </c>
      <c r="G163" s="8" t="s">
        <v>20</v>
      </c>
      <c r="H163" s="8">
        <v>1</v>
      </c>
      <c r="I163" s="8">
        <v>33500000</v>
      </c>
      <c r="J163" s="8">
        <v>1005000</v>
      </c>
      <c r="K163" s="8">
        <v>32495000</v>
      </c>
      <c r="L163" s="8" t="s">
        <v>669</v>
      </c>
      <c r="M163" s="8" t="s">
        <v>38</v>
      </c>
      <c r="N163" s="8" t="s">
        <v>22</v>
      </c>
      <c r="O163" s="8" t="s">
        <v>39</v>
      </c>
    </row>
    <row r="164" spans="1:15">
      <c r="A164" s="8" t="s">
        <v>383</v>
      </c>
      <c r="B164" s="9">
        <v>46217</v>
      </c>
      <c r="C164" s="8" t="s">
        <v>97</v>
      </c>
      <c r="D164" s="8" t="s">
        <v>126</v>
      </c>
      <c r="E164" s="8" t="s">
        <v>103</v>
      </c>
      <c r="F164" s="8" t="s">
        <v>68</v>
      </c>
      <c r="G164" s="8" t="s">
        <v>69</v>
      </c>
      <c r="H164" s="8">
        <v>1</v>
      </c>
      <c r="I164" s="8">
        <v>17800000</v>
      </c>
      <c r="J164" s="8">
        <v>0</v>
      </c>
      <c r="K164" s="8">
        <v>17800000</v>
      </c>
      <c r="L164" s="8" t="s">
        <v>669</v>
      </c>
      <c r="M164" s="8" t="s">
        <v>29</v>
      </c>
      <c r="N164" s="8" t="s">
        <v>22</v>
      </c>
      <c r="O164" s="8" t="s">
        <v>23</v>
      </c>
    </row>
    <row r="165" spans="1:15">
      <c r="A165" s="8" t="s">
        <v>384</v>
      </c>
      <c r="B165" s="9">
        <v>46219</v>
      </c>
      <c r="C165" s="8" t="s">
        <v>65</v>
      </c>
      <c r="D165" s="8" t="s">
        <v>42</v>
      </c>
      <c r="E165" s="8" t="s">
        <v>169</v>
      </c>
      <c r="F165" s="8" t="s">
        <v>19</v>
      </c>
      <c r="G165" s="8" t="s">
        <v>20</v>
      </c>
      <c r="H165" s="8">
        <v>1</v>
      </c>
      <c r="I165" s="8">
        <v>33500000</v>
      </c>
      <c r="J165" s="8">
        <v>670000</v>
      </c>
      <c r="K165" s="8">
        <v>32830000</v>
      </c>
      <c r="L165" s="8" t="s">
        <v>669</v>
      </c>
      <c r="M165" s="8" t="s">
        <v>46</v>
      </c>
      <c r="N165" s="8" t="s">
        <v>22</v>
      </c>
      <c r="O165" s="8" t="s">
        <v>39</v>
      </c>
    </row>
    <row r="166" spans="1:15">
      <c r="A166" s="8" t="s">
        <v>385</v>
      </c>
      <c r="B166" s="9">
        <v>46218</v>
      </c>
      <c r="C166" s="8" t="s">
        <v>85</v>
      </c>
      <c r="D166" s="8" t="s">
        <v>80</v>
      </c>
      <c r="E166" s="8" t="s">
        <v>386</v>
      </c>
      <c r="F166" s="8" t="s">
        <v>60</v>
      </c>
      <c r="G166" s="8" t="s">
        <v>61</v>
      </c>
      <c r="H166" s="8">
        <v>1</v>
      </c>
      <c r="I166" s="8">
        <v>21500000</v>
      </c>
      <c r="J166" s="8">
        <v>1075000</v>
      </c>
      <c r="K166" s="8">
        <v>20425000</v>
      </c>
      <c r="L166" s="8" t="s">
        <v>669</v>
      </c>
      <c r="M166" s="8" t="s">
        <v>21</v>
      </c>
      <c r="N166" s="8" t="s">
        <v>22</v>
      </c>
      <c r="O166" s="8" t="s">
        <v>23</v>
      </c>
    </row>
    <row r="167" spans="1:15">
      <c r="A167" s="8" t="s">
        <v>387</v>
      </c>
      <c r="B167" s="9">
        <v>46217</v>
      </c>
      <c r="C167" s="8" t="s">
        <v>33</v>
      </c>
      <c r="D167" s="8" t="s">
        <v>72</v>
      </c>
      <c r="E167" s="8" t="s">
        <v>123</v>
      </c>
      <c r="F167" s="8" t="s">
        <v>91</v>
      </c>
      <c r="G167" s="8" t="s">
        <v>92</v>
      </c>
      <c r="H167" s="8">
        <v>1</v>
      </c>
      <c r="I167" s="8">
        <v>26900000</v>
      </c>
      <c r="J167" s="8">
        <v>269000</v>
      </c>
      <c r="K167" s="8">
        <v>26631000</v>
      </c>
      <c r="L167" s="8" t="s">
        <v>669</v>
      </c>
      <c r="M167" s="8" t="s">
        <v>21</v>
      </c>
      <c r="N167" s="8" t="s">
        <v>22</v>
      </c>
      <c r="O167" s="8" t="s">
        <v>23</v>
      </c>
    </row>
    <row r="168" spans="1:15">
      <c r="A168" s="8" t="s">
        <v>388</v>
      </c>
      <c r="B168" s="9">
        <v>46217</v>
      </c>
      <c r="C168" s="8" t="s">
        <v>97</v>
      </c>
      <c r="D168" s="8" t="s">
        <v>66</v>
      </c>
      <c r="E168" s="8" t="s">
        <v>171</v>
      </c>
      <c r="F168" s="8" t="s">
        <v>19</v>
      </c>
      <c r="G168" s="8" t="s">
        <v>20</v>
      </c>
      <c r="H168" s="8">
        <v>2</v>
      </c>
      <c r="I168" s="8">
        <v>33500000</v>
      </c>
      <c r="J168" s="8">
        <v>670000</v>
      </c>
      <c r="K168" s="8">
        <v>66330000</v>
      </c>
      <c r="L168" s="8" t="s">
        <v>669</v>
      </c>
      <c r="M168" s="8" t="s">
        <v>38</v>
      </c>
      <c r="N168" s="8" t="s">
        <v>22</v>
      </c>
      <c r="O168" s="8" t="s">
        <v>23</v>
      </c>
    </row>
    <row r="169" spans="1:15">
      <c r="A169" s="8" t="s">
        <v>389</v>
      </c>
      <c r="B169" s="9">
        <v>46220</v>
      </c>
      <c r="C169" s="8" t="s">
        <v>148</v>
      </c>
      <c r="D169" s="8" t="s">
        <v>66</v>
      </c>
      <c r="E169" s="8" t="s">
        <v>390</v>
      </c>
      <c r="F169" s="8" t="s">
        <v>51</v>
      </c>
      <c r="G169" s="8" t="s">
        <v>52</v>
      </c>
      <c r="H169" s="8">
        <v>1</v>
      </c>
      <c r="I169" s="8">
        <v>41000000</v>
      </c>
      <c r="J169" s="8">
        <v>0</v>
      </c>
      <c r="K169" s="8">
        <v>41000000</v>
      </c>
      <c r="L169" s="8" t="s">
        <v>669</v>
      </c>
      <c r="M169" s="8" t="s">
        <v>21</v>
      </c>
      <c r="N169" s="8" t="s">
        <v>87</v>
      </c>
      <c r="O169" s="8" t="s">
        <v>39</v>
      </c>
    </row>
    <row r="170" spans="1:15">
      <c r="A170" s="8" t="s">
        <v>391</v>
      </c>
      <c r="B170" s="9">
        <v>46219</v>
      </c>
      <c r="C170" s="8" t="s">
        <v>112</v>
      </c>
      <c r="D170" s="8" t="s">
        <v>201</v>
      </c>
      <c r="E170" s="8" t="s">
        <v>392</v>
      </c>
      <c r="F170" s="8" t="s">
        <v>142</v>
      </c>
      <c r="G170" s="8" t="s">
        <v>143</v>
      </c>
      <c r="H170" s="8">
        <v>1</v>
      </c>
      <c r="I170" s="8">
        <v>18900000</v>
      </c>
      <c r="J170" s="8">
        <v>0</v>
      </c>
      <c r="K170" s="8">
        <v>18900000</v>
      </c>
      <c r="L170" s="8" t="s">
        <v>669</v>
      </c>
      <c r="M170" s="8" t="s">
        <v>21</v>
      </c>
      <c r="N170" s="8" t="s">
        <v>22</v>
      </c>
      <c r="O170" s="8" t="s">
        <v>30</v>
      </c>
    </row>
    <row r="171" spans="1:15">
      <c r="A171" s="8" t="s">
        <v>393</v>
      </c>
      <c r="B171" s="9">
        <v>46222</v>
      </c>
      <c r="C171" s="8" t="s">
        <v>48</v>
      </c>
      <c r="D171" s="8" t="s">
        <v>98</v>
      </c>
      <c r="E171" s="8" t="s">
        <v>394</v>
      </c>
      <c r="F171" s="8" t="s">
        <v>19</v>
      </c>
      <c r="G171" s="8" t="s">
        <v>20</v>
      </c>
      <c r="H171" s="8">
        <v>1</v>
      </c>
      <c r="I171" s="8">
        <v>33500000</v>
      </c>
      <c r="J171" s="8">
        <v>0</v>
      </c>
      <c r="K171" s="8">
        <v>33500000</v>
      </c>
      <c r="L171" s="8" t="s">
        <v>669</v>
      </c>
      <c r="M171" s="8" t="s">
        <v>29</v>
      </c>
      <c r="N171" s="8" t="s">
        <v>22</v>
      </c>
      <c r="O171" s="8" t="s">
        <v>39</v>
      </c>
    </row>
    <row r="172" spans="1:15">
      <c r="A172" s="8" t="s">
        <v>395</v>
      </c>
      <c r="B172" s="9">
        <v>46222</v>
      </c>
      <c r="C172" s="8" t="s">
        <v>26</v>
      </c>
      <c r="D172" s="8" t="s">
        <v>80</v>
      </c>
      <c r="E172" s="8" t="s">
        <v>219</v>
      </c>
      <c r="F172" s="8" t="s">
        <v>19</v>
      </c>
      <c r="G172" s="8" t="s">
        <v>20</v>
      </c>
      <c r="H172" s="8">
        <v>1</v>
      </c>
      <c r="I172" s="8">
        <v>33500000</v>
      </c>
      <c r="J172" s="8">
        <v>335000</v>
      </c>
      <c r="K172" s="8">
        <v>33165000</v>
      </c>
      <c r="L172" s="8" t="s">
        <v>669</v>
      </c>
      <c r="M172" s="8" t="s">
        <v>29</v>
      </c>
      <c r="N172" s="8" t="s">
        <v>22</v>
      </c>
      <c r="O172" s="8" t="s">
        <v>23</v>
      </c>
    </row>
    <row r="173" spans="1:15">
      <c r="A173" s="8" t="s">
        <v>396</v>
      </c>
      <c r="B173" s="9">
        <v>46222</v>
      </c>
      <c r="C173" s="8" t="s">
        <v>33</v>
      </c>
      <c r="D173" s="8" t="s">
        <v>72</v>
      </c>
      <c r="E173" s="8" t="s">
        <v>280</v>
      </c>
      <c r="F173" s="8" t="s">
        <v>91</v>
      </c>
      <c r="G173" s="8" t="s">
        <v>92</v>
      </c>
      <c r="H173" s="8">
        <v>1</v>
      </c>
      <c r="I173" s="8">
        <v>26900000</v>
      </c>
      <c r="J173" s="8">
        <v>269000</v>
      </c>
      <c r="K173" s="8">
        <v>26631000</v>
      </c>
      <c r="L173" s="8" t="s">
        <v>669</v>
      </c>
      <c r="M173" s="8" t="s">
        <v>46</v>
      </c>
      <c r="N173" s="8" t="s">
        <v>22</v>
      </c>
      <c r="O173" s="8" t="s">
        <v>30</v>
      </c>
    </row>
    <row r="174" spans="1:15">
      <c r="A174" s="8" t="s">
        <v>397</v>
      </c>
      <c r="B174" s="9">
        <v>46217</v>
      </c>
      <c r="C174" s="8" t="s">
        <v>33</v>
      </c>
      <c r="D174" s="8" t="s">
        <v>201</v>
      </c>
      <c r="E174" s="8" t="s">
        <v>35</v>
      </c>
      <c r="F174" s="8" t="s">
        <v>99</v>
      </c>
      <c r="G174" s="8" t="s">
        <v>100</v>
      </c>
      <c r="H174" s="8">
        <v>1</v>
      </c>
      <c r="I174" s="8">
        <v>29800000</v>
      </c>
      <c r="J174" s="8">
        <v>596000</v>
      </c>
      <c r="K174" s="8">
        <v>29204000</v>
      </c>
      <c r="L174" s="8" t="s">
        <v>669</v>
      </c>
      <c r="M174" s="8" t="s">
        <v>62</v>
      </c>
      <c r="N174" s="8" t="s">
        <v>22</v>
      </c>
      <c r="O174" s="8" t="s">
        <v>39</v>
      </c>
    </row>
    <row r="175" spans="1:15">
      <c r="A175" s="8" t="s">
        <v>398</v>
      </c>
      <c r="B175" s="9">
        <v>46219</v>
      </c>
      <c r="C175" s="8" t="s">
        <v>97</v>
      </c>
      <c r="D175" s="8" t="s">
        <v>670</v>
      </c>
      <c r="E175" s="8" t="s">
        <v>109</v>
      </c>
      <c r="F175" s="8" t="s">
        <v>60</v>
      </c>
      <c r="G175" s="8" t="s">
        <v>61</v>
      </c>
      <c r="H175" s="8">
        <v>1</v>
      </c>
      <c r="I175" s="8">
        <v>21500000</v>
      </c>
      <c r="J175" s="8">
        <v>645000</v>
      </c>
      <c r="K175" s="8">
        <v>20855000</v>
      </c>
      <c r="L175" s="8" t="s">
        <v>669</v>
      </c>
      <c r="M175" s="8" t="s">
        <v>46</v>
      </c>
      <c r="N175" s="8" t="s">
        <v>22</v>
      </c>
      <c r="O175" s="8" t="s">
        <v>77</v>
      </c>
    </row>
    <row r="176" spans="1:15">
      <c r="A176" s="8" t="s">
        <v>399</v>
      </c>
      <c r="B176" s="9">
        <v>46217</v>
      </c>
      <c r="C176" s="8" t="s">
        <v>33</v>
      </c>
      <c r="D176" s="8" t="s">
        <v>130</v>
      </c>
      <c r="E176" s="8" t="s">
        <v>322</v>
      </c>
      <c r="F176" s="8" t="s">
        <v>152</v>
      </c>
      <c r="G176" s="8" t="s">
        <v>153</v>
      </c>
      <c r="H176" s="8">
        <v>1</v>
      </c>
      <c r="I176" s="8">
        <v>27400000</v>
      </c>
      <c r="J176" s="8">
        <v>274000</v>
      </c>
      <c r="K176" s="8">
        <v>27126000</v>
      </c>
      <c r="L176" s="8" t="s">
        <v>669</v>
      </c>
      <c r="M176" s="8" t="s">
        <v>29</v>
      </c>
      <c r="N176" s="8" t="s">
        <v>22</v>
      </c>
      <c r="O176" s="8" t="s">
        <v>39</v>
      </c>
    </row>
    <row r="177" spans="1:15">
      <c r="A177" s="8" t="s">
        <v>400</v>
      </c>
      <c r="B177" s="9">
        <v>46218</v>
      </c>
      <c r="C177" s="8" t="s">
        <v>182</v>
      </c>
      <c r="D177" s="8" t="s">
        <v>98</v>
      </c>
      <c r="E177" s="8" t="s">
        <v>280</v>
      </c>
      <c r="F177" s="8" t="s">
        <v>51</v>
      </c>
      <c r="G177" s="8" t="s">
        <v>52</v>
      </c>
      <c r="H177" s="8">
        <v>1</v>
      </c>
      <c r="I177" s="8">
        <v>41000000</v>
      </c>
      <c r="J177" s="8">
        <v>0</v>
      </c>
      <c r="K177" s="8">
        <v>41000000</v>
      </c>
      <c r="L177" s="8" t="s">
        <v>669</v>
      </c>
      <c r="M177" s="8" t="s">
        <v>62</v>
      </c>
      <c r="N177" s="8" t="s">
        <v>22</v>
      </c>
      <c r="O177" s="8" t="s">
        <v>30</v>
      </c>
    </row>
    <row r="178" spans="1:15">
      <c r="A178" s="8" t="s">
        <v>401</v>
      </c>
      <c r="B178" s="9">
        <v>46219</v>
      </c>
      <c r="C178" s="8" t="s">
        <v>112</v>
      </c>
      <c r="D178" s="8" t="s">
        <v>27</v>
      </c>
      <c r="E178" s="8" t="s">
        <v>402</v>
      </c>
      <c r="F178" s="8" t="s">
        <v>19</v>
      </c>
      <c r="G178" s="8" t="s">
        <v>20</v>
      </c>
      <c r="H178" s="8">
        <v>1</v>
      </c>
      <c r="I178" s="8">
        <v>33500000</v>
      </c>
      <c r="J178" s="8">
        <v>1005000</v>
      </c>
      <c r="K178" s="8">
        <v>32495000</v>
      </c>
      <c r="L178" s="8" t="s">
        <v>669</v>
      </c>
      <c r="M178" s="8" t="s">
        <v>29</v>
      </c>
      <c r="N178" s="8" t="s">
        <v>22</v>
      </c>
      <c r="O178" s="8" t="s">
        <v>30</v>
      </c>
    </row>
    <row r="179" spans="1:15">
      <c r="A179" s="8" t="s">
        <v>403</v>
      </c>
      <c r="B179" s="9">
        <v>46222</v>
      </c>
      <c r="C179" s="8" t="s">
        <v>148</v>
      </c>
      <c r="D179" s="8" t="s">
        <v>58</v>
      </c>
      <c r="E179" s="8" t="s">
        <v>404</v>
      </c>
      <c r="F179" s="8" t="s">
        <v>99</v>
      </c>
      <c r="G179" s="8" t="s">
        <v>100</v>
      </c>
      <c r="H179" s="8">
        <v>1</v>
      </c>
      <c r="I179" s="8">
        <v>29800000</v>
      </c>
      <c r="J179" s="8">
        <v>596000</v>
      </c>
      <c r="K179" s="8">
        <v>29204000</v>
      </c>
      <c r="L179" s="8" t="s">
        <v>669</v>
      </c>
      <c r="M179" s="8" t="s">
        <v>62</v>
      </c>
      <c r="N179" s="8" t="s">
        <v>22</v>
      </c>
      <c r="O179" s="8" t="s">
        <v>23</v>
      </c>
    </row>
    <row r="180" spans="1:15">
      <c r="A180" s="8" t="s">
        <v>405</v>
      </c>
      <c r="B180" s="9">
        <v>46217</v>
      </c>
      <c r="C180" s="8" t="s">
        <v>71</v>
      </c>
      <c r="D180" s="8" t="s">
        <v>145</v>
      </c>
      <c r="E180" s="8" t="s">
        <v>406</v>
      </c>
      <c r="F180" s="8" t="s">
        <v>19</v>
      </c>
      <c r="G180" s="8" t="s">
        <v>20</v>
      </c>
      <c r="H180" s="8">
        <v>1</v>
      </c>
      <c r="I180" s="8">
        <v>33500000</v>
      </c>
      <c r="J180" s="8">
        <v>335000</v>
      </c>
      <c r="K180" s="8">
        <v>33165000</v>
      </c>
      <c r="L180" s="8" t="s">
        <v>669</v>
      </c>
      <c r="M180" s="8" t="s">
        <v>46</v>
      </c>
      <c r="N180" s="8" t="s">
        <v>22</v>
      </c>
      <c r="O180" s="8" t="s">
        <v>30</v>
      </c>
    </row>
    <row r="181" spans="1:15">
      <c r="A181" s="8" t="s">
        <v>407</v>
      </c>
      <c r="B181" s="9">
        <v>46216</v>
      </c>
      <c r="C181" s="8" t="s">
        <v>48</v>
      </c>
      <c r="D181" s="8" t="s">
        <v>80</v>
      </c>
      <c r="E181" s="8" t="s">
        <v>267</v>
      </c>
      <c r="F181" s="8" t="s">
        <v>19</v>
      </c>
      <c r="G181" s="8" t="s">
        <v>20</v>
      </c>
      <c r="H181" s="8">
        <v>1</v>
      </c>
      <c r="I181" s="8">
        <v>33500000</v>
      </c>
      <c r="J181" s="8">
        <v>1005000</v>
      </c>
      <c r="K181" s="8">
        <v>32495000</v>
      </c>
      <c r="L181" s="8" t="s">
        <v>669</v>
      </c>
      <c r="M181" s="8" t="s">
        <v>38</v>
      </c>
      <c r="N181" s="8" t="s">
        <v>82</v>
      </c>
      <c r="O181" s="8" t="s">
        <v>77</v>
      </c>
    </row>
    <row r="182" spans="1:15">
      <c r="A182" s="8" t="s">
        <v>408</v>
      </c>
      <c r="B182" s="9">
        <v>46218</v>
      </c>
      <c r="C182" s="8" t="s">
        <v>71</v>
      </c>
      <c r="D182" s="8" t="s">
        <v>27</v>
      </c>
      <c r="E182" s="8" t="s">
        <v>259</v>
      </c>
      <c r="F182" s="8" t="s">
        <v>19</v>
      </c>
      <c r="G182" s="8" t="s">
        <v>20</v>
      </c>
      <c r="H182" s="8">
        <v>1</v>
      </c>
      <c r="I182" s="8">
        <v>33500000</v>
      </c>
      <c r="J182" s="8">
        <v>670000</v>
      </c>
      <c r="K182" s="8">
        <v>32830000</v>
      </c>
      <c r="L182" s="8" t="s">
        <v>669</v>
      </c>
      <c r="M182" s="8" t="s">
        <v>62</v>
      </c>
      <c r="N182" s="8" t="s">
        <v>22</v>
      </c>
      <c r="O182" s="8" t="s">
        <v>77</v>
      </c>
    </row>
    <row r="183" spans="1:15">
      <c r="A183" s="8" t="s">
        <v>409</v>
      </c>
      <c r="B183" s="9">
        <v>46219</v>
      </c>
      <c r="C183" s="8" t="s">
        <v>148</v>
      </c>
      <c r="D183" s="8" t="s">
        <v>98</v>
      </c>
      <c r="E183" s="8" t="s">
        <v>267</v>
      </c>
      <c r="F183" s="8" t="s">
        <v>142</v>
      </c>
      <c r="G183" s="8" t="s">
        <v>143</v>
      </c>
      <c r="H183" s="8">
        <v>1</v>
      </c>
      <c r="I183" s="8">
        <v>18900000</v>
      </c>
      <c r="J183" s="8">
        <v>0</v>
      </c>
      <c r="K183" s="8">
        <v>18900000</v>
      </c>
      <c r="L183" s="8" t="s">
        <v>669</v>
      </c>
      <c r="M183" s="8" t="s">
        <v>46</v>
      </c>
      <c r="N183" s="8" t="s">
        <v>22</v>
      </c>
      <c r="O183" s="8" t="s">
        <v>30</v>
      </c>
    </row>
    <row r="184" spans="1:15">
      <c r="A184" s="8" t="s">
        <v>410</v>
      </c>
      <c r="B184" s="9">
        <v>46217</v>
      </c>
      <c r="C184" s="8" t="s">
        <v>112</v>
      </c>
      <c r="D184" s="8" t="s">
        <v>94</v>
      </c>
      <c r="E184" s="8" t="s">
        <v>202</v>
      </c>
      <c r="F184" s="8" t="s">
        <v>99</v>
      </c>
      <c r="G184" s="8" t="s">
        <v>100</v>
      </c>
      <c r="H184" s="8">
        <v>1</v>
      </c>
      <c r="I184" s="8">
        <v>29800000</v>
      </c>
      <c r="J184" s="8">
        <v>894000</v>
      </c>
      <c r="K184" s="8">
        <v>28906000</v>
      </c>
      <c r="L184" s="8" t="s">
        <v>669</v>
      </c>
      <c r="M184" s="8" t="s">
        <v>29</v>
      </c>
      <c r="N184" s="8" t="s">
        <v>22</v>
      </c>
      <c r="O184" s="8" t="s">
        <v>30</v>
      </c>
    </row>
    <row r="185" spans="1:15">
      <c r="A185" s="8" t="s">
        <v>411</v>
      </c>
      <c r="B185" s="9">
        <v>46217</v>
      </c>
      <c r="C185" s="8" t="s">
        <v>182</v>
      </c>
      <c r="D185" s="8" t="s">
        <v>54</v>
      </c>
      <c r="E185" s="8" t="s">
        <v>273</v>
      </c>
      <c r="F185" s="8" t="s">
        <v>142</v>
      </c>
      <c r="G185" s="8" t="s">
        <v>143</v>
      </c>
      <c r="H185" s="8">
        <v>1</v>
      </c>
      <c r="I185" s="8">
        <v>18900000</v>
      </c>
      <c r="J185" s="8">
        <v>945000</v>
      </c>
      <c r="K185" s="8">
        <v>17955000</v>
      </c>
      <c r="L185" s="8" t="s">
        <v>669</v>
      </c>
      <c r="M185" s="8" t="s">
        <v>46</v>
      </c>
      <c r="N185" s="8" t="s">
        <v>22</v>
      </c>
      <c r="O185" s="8" t="s">
        <v>77</v>
      </c>
    </row>
    <row r="186" spans="1:15">
      <c r="A186" s="8" t="s">
        <v>412</v>
      </c>
      <c r="B186" s="9">
        <v>46218</v>
      </c>
      <c r="C186" s="8" t="s">
        <v>16</v>
      </c>
      <c r="D186" s="8" t="s">
        <v>42</v>
      </c>
      <c r="E186" s="8" t="s">
        <v>245</v>
      </c>
      <c r="F186" s="8" t="s">
        <v>60</v>
      </c>
      <c r="G186" s="8" t="s">
        <v>61</v>
      </c>
      <c r="H186" s="8">
        <v>2</v>
      </c>
      <c r="I186" s="8">
        <v>21500000</v>
      </c>
      <c r="J186" s="8">
        <v>1290000</v>
      </c>
      <c r="K186" s="8">
        <v>41710000</v>
      </c>
      <c r="L186" s="8" t="s">
        <v>669</v>
      </c>
      <c r="M186" s="8" t="s">
        <v>46</v>
      </c>
      <c r="N186" s="8" t="s">
        <v>22</v>
      </c>
      <c r="O186" s="8" t="s">
        <v>30</v>
      </c>
    </row>
    <row r="187" spans="1:15">
      <c r="A187" s="8" t="s">
        <v>413</v>
      </c>
      <c r="B187" s="9">
        <v>46216</v>
      </c>
      <c r="C187" s="8" t="s">
        <v>85</v>
      </c>
      <c r="D187" s="8" t="s">
        <v>126</v>
      </c>
      <c r="E187" s="8" t="s">
        <v>209</v>
      </c>
      <c r="F187" s="8" t="s">
        <v>68</v>
      </c>
      <c r="G187" s="8" t="s">
        <v>69</v>
      </c>
      <c r="H187" s="8">
        <v>1</v>
      </c>
      <c r="I187" s="8">
        <v>17800000</v>
      </c>
      <c r="J187" s="8">
        <v>178000</v>
      </c>
      <c r="K187" s="8">
        <v>17622000</v>
      </c>
      <c r="L187" s="8" t="s">
        <v>669</v>
      </c>
      <c r="M187" s="8" t="s">
        <v>21</v>
      </c>
      <c r="N187" s="8" t="s">
        <v>87</v>
      </c>
      <c r="O187" s="8" t="s">
        <v>77</v>
      </c>
    </row>
    <row r="188" spans="1:15">
      <c r="A188" s="8" t="s">
        <v>414</v>
      </c>
      <c r="B188" s="9">
        <v>46221</v>
      </c>
      <c r="C188" s="8" t="s">
        <v>26</v>
      </c>
      <c r="D188" s="8" t="s">
        <v>145</v>
      </c>
      <c r="E188" s="8" t="s">
        <v>18</v>
      </c>
      <c r="F188" s="8" t="s">
        <v>19</v>
      </c>
      <c r="G188" s="8" t="s">
        <v>20</v>
      </c>
      <c r="H188" s="8">
        <v>2</v>
      </c>
      <c r="I188" s="8">
        <v>33500000</v>
      </c>
      <c r="J188" s="8">
        <v>2010000</v>
      </c>
      <c r="K188" s="8">
        <v>64990000</v>
      </c>
      <c r="L188" s="8" t="s">
        <v>669</v>
      </c>
      <c r="M188" s="8" t="s">
        <v>38</v>
      </c>
      <c r="N188" s="8" t="s">
        <v>22</v>
      </c>
      <c r="O188" s="8" t="s">
        <v>30</v>
      </c>
    </row>
    <row r="189" spans="1:15">
      <c r="A189" s="8" t="s">
        <v>415</v>
      </c>
      <c r="B189" s="9">
        <v>46219</v>
      </c>
      <c r="C189" s="8" t="s">
        <v>85</v>
      </c>
      <c r="D189" s="8" t="s">
        <v>130</v>
      </c>
      <c r="E189" s="8" t="s">
        <v>223</v>
      </c>
      <c r="F189" s="8" t="s">
        <v>60</v>
      </c>
      <c r="G189" s="8" t="s">
        <v>61</v>
      </c>
      <c r="H189" s="8">
        <v>1</v>
      </c>
      <c r="I189" s="8">
        <v>21500000</v>
      </c>
      <c r="J189" s="8">
        <v>0</v>
      </c>
      <c r="K189" s="8">
        <v>21500000</v>
      </c>
      <c r="L189" s="8" t="s">
        <v>669</v>
      </c>
      <c r="M189" s="8" t="s">
        <v>46</v>
      </c>
      <c r="N189" s="8" t="s">
        <v>22</v>
      </c>
      <c r="O189" s="8" t="s">
        <v>23</v>
      </c>
    </row>
    <row r="190" spans="1:15">
      <c r="A190" s="8" t="s">
        <v>416</v>
      </c>
      <c r="B190" s="9">
        <v>46219</v>
      </c>
      <c r="C190" s="8" t="s">
        <v>48</v>
      </c>
      <c r="D190" s="8" t="s">
        <v>201</v>
      </c>
      <c r="E190" s="8" t="s">
        <v>236</v>
      </c>
      <c r="F190" s="8" t="s">
        <v>60</v>
      </c>
      <c r="G190" s="8" t="s">
        <v>61</v>
      </c>
      <c r="H190" s="8">
        <v>1</v>
      </c>
      <c r="I190" s="8">
        <v>21500000</v>
      </c>
      <c r="J190" s="8">
        <v>1075000</v>
      </c>
      <c r="K190" s="8">
        <v>20425000</v>
      </c>
      <c r="L190" s="8" t="s">
        <v>669</v>
      </c>
      <c r="M190" s="8" t="s">
        <v>29</v>
      </c>
      <c r="N190" s="8" t="s">
        <v>22</v>
      </c>
      <c r="O190" s="8" t="s">
        <v>30</v>
      </c>
    </row>
    <row r="191" spans="1:15">
      <c r="A191" s="8" t="s">
        <v>417</v>
      </c>
      <c r="B191" s="9">
        <v>46218</v>
      </c>
      <c r="C191" s="8" t="s">
        <v>85</v>
      </c>
      <c r="D191" s="8" t="s">
        <v>113</v>
      </c>
      <c r="E191" s="8" t="s">
        <v>418</v>
      </c>
      <c r="F191" s="8" t="s">
        <v>19</v>
      </c>
      <c r="G191" s="8" t="s">
        <v>20</v>
      </c>
      <c r="H191" s="8">
        <v>1</v>
      </c>
      <c r="I191" s="8">
        <v>33500000</v>
      </c>
      <c r="J191" s="8">
        <v>335000</v>
      </c>
      <c r="K191" s="8">
        <v>33165000</v>
      </c>
      <c r="L191" s="8" t="s">
        <v>669</v>
      </c>
      <c r="M191" s="8" t="s">
        <v>38</v>
      </c>
      <c r="N191" s="8" t="s">
        <v>22</v>
      </c>
      <c r="O191" s="8" t="s">
        <v>77</v>
      </c>
    </row>
    <row r="192" spans="1:15">
      <c r="A192" s="8" t="s">
        <v>419</v>
      </c>
      <c r="B192" s="9">
        <v>46221</v>
      </c>
      <c r="C192" s="8" t="s">
        <v>148</v>
      </c>
      <c r="D192" s="8" t="s">
        <v>201</v>
      </c>
      <c r="E192" s="8" t="s">
        <v>265</v>
      </c>
      <c r="F192" s="8" t="s">
        <v>152</v>
      </c>
      <c r="G192" s="8" t="s">
        <v>153</v>
      </c>
      <c r="H192" s="8">
        <v>1</v>
      </c>
      <c r="I192" s="8">
        <v>27400000</v>
      </c>
      <c r="J192" s="8">
        <v>0</v>
      </c>
      <c r="K192" s="8">
        <v>27400000</v>
      </c>
      <c r="L192" s="8" t="s">
        <v>669</v>
      </c>
      <c r="M192" s="8" t="s">
        <v>62</v>
      </c>
      <c r="N192" s="8" t="s">
        <v>22</v>
      </c>
      <c r="O192" s="8" t="s">
        <v>23</v>
      </c>
    </row>
    <row r="193" spans="1:15">
      <c r="A193" s="8" t="s">
        <v>420</v>
      </c>
      <c r="B193" s="9">
        <v>46218</v>
      </c>
      <c r="C193" s="8" t="s">
        <v>148</v>
      </c>
      <c r="D193" s="8" t="s">
        <v>42</v>
      </c>
      <c r="E193" s="8" t="s">
        <v>165</v>
      </c>
      <c r="F193" s="8" t="s">
        <v>19</v>
      </c>
      <c r="G193" s="8" t="s">
        <v>20</v>
      </c>
      <c r="H193" s="8">
        <v>1</v>
      </c>
      <c r="I193" s="8">
        <v>33500000</v>
      </c>
      <c r="J193" s="8">
        <v>335000</v>
      </c>
      <c r="K193" s="8">
        <v>33165000</v>
      </c>
      <c r="L193" s="8" t="s">
        <v>669</v>
      </c>
      <c r="M193" s="8" t="s">
        <v>21</v>
      </c>
      <c r="N193" s="8" t="s">
        <v>22</v>
      </c>
      <c r="O193" s="8" t="s">
        <v>23</v>
      </c>
    </row>
    <row r="194" spans="1:15">
      <c r="A194" s="8" t="s">
        <v>421</v>
      </c>
      <c r="B194" s="9">
        <v>46222</v>
      </c>
      <c r="C194" s="8" t="s">
        <v>148</v>
      </c>
      <c r="D194" s="8" t="s">
        <v>27</v>
      </c>
      <c r="E194" s="8" t="s">
        <v>240</v>
      </c>
      <c r="F194" s="8" t="s">
        <v>19</v>
      </c>
      <c r="G194" s="8" t="s">
        <v>20</v>
      </c>
      <c r="H194" s="8">
        <v>1</v>
      </c>
      <c r="I194" s="8">
        <v>33500000</v>
      </c>
      <c r="J194" s="8">
        <v>335000</v>
      </c>
      <c r="K194" s="8">
        <v>33165000</v>
      </c>
      <c r="L194" s="8" t="s">
        <v>669</v>
      </c>
      <c r="M194" s="8" t="s">
        <v>46</v>
      </c>
      <c r="N194" s="8" t="s">
        <v>22</v>
      </c>
      <c r="O194" s="8" t="s">
        <v>23</v>
      </c>
    </row>
    <row r="195" spans="1:15">
      <c r="A195" s="8" t="s">
        <v>422</v>
      </c>
      <c r="B195" s="9">
        <v>46219</v>
      </c>
      <c r="C195" s="8" t="s">
        <v>155</v>
      </c>
      <c r="D195" s="8" t="s">
        <v>49</v>
      </c>
      <c r="E195" s="8" t="s">
        <v>423</v>
      </c>
      <c r="F195" s="8" t="s">
        <v>44</v>
      </c>
      <c r="G195" s="8" t="s">
        <v>45</v>
      </c>
      <c r="H195" s="8">
        <v>1</v>
      </c>
      <c r="I195" s="8">
        <v>24600000</v>
      </c>
      <c r="J195" s="8">
        <v>738000</v>
      </c>
      <c r="K195" s="8">
        <v>23862000</v>
      </c>
      <c r="L195" s="8" t="s">
        <v>669</v>
      </c>
      <c r="M195" s="8" t="s">
        <v>38</v>
      </c>
      <c r="N195" s="8" t="s">
        <v>22</v>
      </c>
      <c r="O195" s="8" t="s">
        <v>77</v>
      </c>
    </row>
    <row r="196" spans="1:15">
      <c r="A196" s="8" t="s">
        <v>424</v>
      </c>
      <c r="B196" s="9">
        <v>46222</v>
      </c>
      <c r="C196" s="8" t="s">
        <v>155</v>
      </c>
      <c r="D196" s="8" t="s">
        <v>27</v>
      </c>
      <c r="E196" s="8" t="s">
        <v>341</v>
      </c>
      <c r="F196" s="8" t="s">
        <v>19</v>
      </c>
      <c r="G196" s="8" t="s">
        <v>20</v>
      </c>
      <c r="H196" s="8">
        <v>1</v>
      </c>
      <c r="I196" s="8">
        <v>33500000</v>
      </c>
      <c r="J196" s="8">
        <v>1005000</v>
      </c>
      <c r="K196" s="8">
        <v>0</v>
      </c>
      <c r="L196" s="8" t="s">
        <v>671</v>
      </c>
      <c r="M196" s="8" t="s">
        <v>29</v>
      </c>
      <c r="N196" s="8" t="s">
        <v>22</v>
      </c>
      <c r="O196" s="8" t="s">
        <v>77</v>
      </c>
    </row>
    <row r="197" spans="1:15">
      <c r="A197" s="8" t="s">
        <v>426</v>
      </c>
      <c r="B197" s="9">
        <v>46221</v>
      </c>
      <c r="C197" s="8" t="s">
        <v>16</v>
      </c>
      <c r="D197" s="8" t="s">
        <v>27</v>
      </c>
      <c r="E197" s="8" t="s">
        <v>103</v>
      </c>
      <c r="F197" s="8" t="s">
        <v>36</v>
      </c>
      <c r="G197" s="8" t="s">
        <v>37</v>
      </c>
      <c r="H197" s="8">
        <v>1</v>
      </c>
      <c r="I197" s="8">
        <v>22300000</v>
      </c>
      <c r="J197" s="8">
        <v>0</v>
      </c>
      <c r="K197" s="8">
        <v>22300000</v>
      </c>
      <c r="L197" s="8" t="s">
        <v>669</v>
      </c>
      <c r="M197" s="8" t="s">
        <v>29</v>
      </c>
      <c r="N197" s="8" t="s">
        <v>22</v>
      </c>
      <c r="O197" s="8" t="s">
        <v>30</v>
      </c>
    </row>
    <row r="198" spans="1:15">
      <c r="A198" s="8" t="s">
        <v>56</v>
      </c>
      <c r="B198" s="9">
        <v>46220</v>
      </c>
      <c r="C198" s="8" t="s">
        <v>16</v>
      </c>
      <c r="D198" s="8" t="s">
        <v>58</v>
      </c>
      <c r="E198" s="8" t="s">
        <v>59</v>
      </c>
      <c r="F198" s="8" t="s">
        <v>60</v>
      </c>
      <c r="G198" s="8" t="s">
        <v>61</v>
      </c>
      <c r="H198" s="8">
        <v>1</v>
      </c>
      <c r="I198" s="8">
        <v>21500000</v>
      </c>
      <c r="J198" s="8">
        <v>645000</v>
      </c>
      <c r="K198" s="8">
        <v>20855000</v>
      </c>
      <c r="L198" s="8" t="s">
        <v>669</v>
      </c>
      <c r="M198" s="8" t="s">
        <v>62</v>
      </c>
      <c r="N198" s="8" t="s">
        <v>22</v>
      </c>
      <c r="O198" s="8" t="s">
        <v>30</v>
      </c>
    </row>
    <row r="199" spans="1:15">
      <c r="A199" s="8" t="s">
        <v>427</v>
      </c>
      <c r="B199" s="9">
        <v>46217</v>
      </c>
      <c r="C199" s="8" t="s">
        <v>182</v>
      </c>
      <c r="D199" s="8" t="s">
        <v>34</v>
      </c>
      <c r="E199" s="8" t="s">
        <v>428</v>
      </c>
      <c r="F199" s="8" t="s">
        <v>19</v>
      </c>
      <c r="G199" s="8" t="s">
        <v>20</v>
      </c>
      <c r="H199" s="8">
        <v>1</v>
      </c>
      <c r="I199" s="8">
        <v>33500000</v>
      </c>
      <c r="J199" s="8">
        <v>1675000</v>
      </c>
      <c r="K199" s="8">
        <v>31825000</v>
      </c>
      <c r="L199" s="8" t="s">
        <v>669</v>
      </c>
      <c r="M199" s="8" t="s">
        <v>62</v>
      </c>
      <c r="N199" s="8" t="s">
        <v>22</v>
      </c>
      <c r="O199" s="8" t="s">
        <v>39</v>
      </c>
    </row>
    <row r="200" spans="1:15">
      <c r="A200" s="8" t="s">
        <v>429</v>
      </c>
      <c r="B200" s="9">
        <v>46217</v>
      </c>
      <c r="C200" s="8" t="s">
        <v>148</v>
      </c>
      <c r="D200" s="8" t="s">
        <v>27</v>
      </c>
      <c r="E200" s="8" t="s">
        <v>347</v>
      </c>
      <c r="F200" s="8" t="s">
        <v>152</v>
      </c>
      <c r="G200" s="8" t="s">
        <v>153</v>
      </c>
      <c r="H200" s="8">
        <v>1</v>
      </c>
      <c r="I200" s="8">
        <v>27400000</v>
      </c>
      <c r="J200" s="8">
        <v>0</v>
      </c>
      <c r="K200" s="8">
        <v>27400000</v>
      </c>
      <c r="L200" s="8" t="s">
        <v>669</v>
      </c>
      <c r="M200" s="8" t="s">
        <v>46</v>
      </c>
      <c r="N200" s="8" t="s">
        <v>22</v>
      </c>
      <c r="O200" s="8" t="s">
        <v>77</v>
      </c>
    </row>
    <row r="201" spans="1:15">
      <c r="A201" s="8" t="s">
        <v>430</v>
      </c>
      <c r="B201" s="9">
        <v>46221</v>
      </c>
      <c r="C201" s="8" t="s">
        <v>112</v>
      </c>
      <c r="D201" s="8" t="s">
        <v>58</v>
      </c>
      <c r="E201" s="8" t="s">
        <v>199</v>
      </c>
      <c r="F201" s="8" t="s">
        <v>19</v>
      </c>
      <c r="G201" s="8" t="s">
        <v>20</v>
      </c>
      <c r="H201" s="8">
        <v>1</v>
      </c>
      <c r="I201" s="8">
        <v>33500000</v>
      </c>
      <c r="J201" s="8">
        <v>0</v>
      </c>
      <c r="K201" s="8">
        <v>33500000</v>
      </c>
      <c r="L201" s="8" t="s">
        <v>669</v>
      </c>
      <c r="M201" s="8" t="s">
        <v>46</v>
      </c>
      <c r="N201" s="8" t="s">
        <v>22</v>
      </c>
      <c r="O201" s="8" t="s">
        <v>23</v>
      </c>
    </row>
    <row r="202" spans="1:15">
      <c r="A202" s="8" t="s">
        <v>431</v>
      </c>
      <c r="B202" s="9">
        <v>46220</v>
      </c>
      <c r="C202" s="8" t="s">
        <v>112</v>
      </c>
      <c r="D202" s="8" t="s">
        <v>66</v>
      </c>
      <c r="E202" s="8" t="s">
        <v>432</v>
      </c>
      <c r="F202" s="8" t="s">
        <v>44</v>
      </c>
      <c r="G202" s="8" t="s">
        <v>45</v>
      </c>
      <c r="H202" s="8">
        <v>1</v>
      </c>
      <c r="I202" s="8">
        <v>24600000</v>
      </c>
      <c r="J202" s="8">
        <v>246000</v>
      </c>
      <c r="K202" s="8">
        <v>24354000</v>
      </c>
      <c r="L202" s="8" t="s">
        <v>669</v>
      </c>
      <c r="M202" s="8" t="s">
        <v>21</v>
      </c>
      <c r="N202" s="8" t="s">
        <v>22</v>
      </c>
      <c r="O202" s="8" t="s">
        <v>30</v>
      </c>
    </row>
    <row r="203" spans="1:15">
      <c r="A203" s="8" t="s">
        <v>433</v>
      </c>
      <c r="B203" s="9">
        <v>46220</v>
      </c>
      <c r="C203" s="8" t="s">
        <v>48</v>
      </c>
      <c r="D203" s="8" t="s">
        <v>17</v>
      </c>
      <c r="E203" s="8" t="s">
        <v>280</v>
      </c>
      <c r="F203" s="8" t="s">
        <v>19</v>
      </c>
      <c r="G203" s="8" t="s">
        <v>20</v>
      </c>
      <c r="H203" s="8">
        <v>1</v>
      </c>
      <c r="I203" s="8">
        <v>33500000</v>
      </c>
      <c r="J203" s="8">
        <v>1005000</v>
      </c>
      <c r="K203" s="8">
        <v>32495000</v>
      </c>
      <c r="L203" s="8" t="s">
        <v>669</v>
      </c>
      <c r="M203" s="8" t="s">
        <v>29</v>
      </c>
      <c r="N203" s="8" t="s">
        <v>22</v>
      </c>
      <c r="O203" s="8" t="s">
        <v>39</v>
      </c>
    </row>
    <row r="204" spans="1:15">
      <c r="A204" s="8" t="s">
        <v>434</v>
      </c>
      <c r="B204" s="9">
        <v>46217</v>
      </c>
      <c r="C204" s="8" t="s">
        <v>16</v>
      </c>
      <c r="D204" s="8" t="s">
        <v>58</v>
      </c>
      <c r="E204" s="8" t="s">
        <v>236</v>
      </c>
      <c r="F204" s="8" t="s">
        <v>60</v>
      </c>
      <c r="G204" s="8" t="s">
        <v>61</v>
      </c>
      <c r="H204" s="8">
        <v>1</v>
      </c>
      <c r="I204" s="8">
        <v>21500000</v>
      </c>
      <c r="J204" s="8">
        <v>215000</v>
      </c>
      <c r="K204" s="8">
        <v>21285000</v>
      </c>
      <c r="L204" s="8" t="s">
        <v>669</v>
      </c>
      <c r="M204" s="8" t="s">
        <v>29</v>
      </c>
      <c r="N204" s="8" t="s">
        <v>22</v>
      </c>
      <c r="O204" s="8" t="s">
        <v>23</v>
      </c>
    </row>
    <row r="205" spans="1:15">
      <c r="A205" s="8" t="s">
        <v>435</v>
      </c>
      <c r="B205" s="9">
        <v>46219</v>
      </c>
      <c r="C205" s="8" t="s">
        <v>48</v>
      </c>
      <c r="D205" s="8" t="s">
        <v>58</v>
      </c>
      <c r="E205" s="8" t="s">
        <v>223</v>
      </c>
      <c r="F205" s="8" t="s">
        <v>99</v>
      </c>
      <c r="G205" s="8" t="s">
        <v>100</v>
      </c>
      <c r="H205" s="8">
        <v>1</v>
      </c>
      <c r="I205" s="8">
        <v>29800000</v>
      </c>
      <c r="J205" s="8">
        <v>596000</v>
      </c>
      <c r="K205" s="8">
        <v>29204000</v>
      </c>
      <c r="L205" s="8" t="s">
        <v>669</v>
      </c>
      <c r="M205" s="8" t="s">
        <v>46</v>
      </c>
      <c r="N205" s="8" t="s">
        <v>22</v>
      </c>
      <c r="O205" s="8" t="s">
        <v>23</v>
      </c>
    </row>
    <row r="206" spans="1:15">
      <c r="A206" s="8" t="s">
        <v>436</v>
      </c>
      <c r="B206" s="9">
        <v>46220</v>
      </c>
      <c r="C206" s="8" t="s">
        <v>16</v>
      </c>
      <c r="D206" s="8" t="s">
        <v>168</v>
      </c>
      <c r="E206" s="8" t="s">
        <v>437</v>
      </c>
      <c r="F206" s="8" t="s">
        <v>68</v>
      </c>
      <c r="G206" s="8" t="s">
        <v>69</v>
      </c>
      <c r="H206" s="8">
        <v>1</v>
      </c>
      <c r="I206" s="8">
        <v>17800000</v>
      </c>
      <c r="J206" s="8">
        <v>0</v>
      </c>
      <c r="K206" s="8">
        <v>17800000</v>
      </c>
      <c r="L206" s="8" t="s">
        <v>669</v>
      </c>
      <c r="M206" s="8" t="s">
        <v>46</v>
      </c>
      <c r="N206" s="8" t="s">
        <v>22</v>
      </c>
      <c r="O206" s="8" t="s">
        <v>30</v>
      </c>
    </row>
    <row r="207" spans="1:15">
      <c r="A207" s="8" t="s">
        <v>107</v>
      </c>
      <c r="B207" s="9">
        <v>46221</v>
      </c>
      <c r="C207" s="8" t="s">
        <v>97</v>
      </c>
      <c r="D207" s="8" t="s">
        <v>42</v>
      </c>
      <c r="E207" s="8" t="s">
        <v>109</v>
      </c>
      <c r="F207" s="8" t="s">
        <v>60</v>
      </c>
      <c r="G207" s="8" t="s">
        <v>61</v>
      </c>
      <c r="H207" s="8">
        <v>1</v>
      </c>
      <c r="I207" s="8">
        <v>21500000</v>
      </c>
      <c r="J207" s="8">
        <v>215000</v>
      </c>
      <c r="K207" s="8">
        <v>21285000</v>
      </c>
      <c r="L207" s="8" t="s">
        <v>669</v>
      </c>
      <c r="M207" s="8" t="s">
        <v>38</v>
      </c>
      <c r="N207" s="8" t="s">
        <v>22</v>
      </c>
      <c r="O207" s="8" t="s">
        <v>77</v>
      </c>
    </row>
    <row r="208" spans="1:15">
      <c r="A208" s="8" t="s">
        <v>438</v>
      </c>
      <c r="B208" s="9">
        <v>46221</v>
      </c>
      <c r="C208" s="8" t="s">
        <v>26</v>
      </c>
      <c r="D208" s="8" t="s">
        <v>113</v>
      </c>
      <c r="E208" s="8" t="s">
        <v>355</v>
      </c>
      <c r="F208" s="8" t="s">
        <v>19</v>
      </c>
      <c r="G208" s="8" t="s">
        <v>20</v>
      </c>
      <c r="H208" s="8">
        <v>1</v>
      </c>
      <c r="I208" s="8">
        <v>33500000</v>
      </c>
      <c r="J208" s="8">
        <v>0</v>
      </c>
      <c r="K208" s="8">
        <v>33500000</v>
      </c>
      <c r="L208" s="8" t="s">
        <v>669</v>
      </c>
      <c r="M208" s="8" t="s">
        <v>38</v>
      </c>
      <c r="N208" s="8" t="s">
        <v>87</v>
      </c>
      <c r="O208" s="8" t="s">
        <v>39</v>
      </c>
    </row>
    <row r="209" spans="1:15">
      <c r="A209" s="8" t="s">
        <v>439</v>
      </c>
      <c r="B209" s="9">
        <v>46220</v>
      </c>
      <c r="C209" s="8" t="s">
        <v>182</v>
      </c>
      <c r="D209" s="8" t="s">
        <v>168</v>
      </c>
      <c r="E209" s="8" t="s">
        <v>202</v>
      </c>
      <c r="F209" s="8" t="s">
        <v>19</v>
      </c>
      <c r="G209" s="8" t="s">
        <v>20</v>
      </c>
      <c r="H209" s="8">
        <v>1</v>
      </c>
      <c r="I209" s="8">
        <v>33500000</v>
      </c>
      <c r="J209" s="8">
        <v>1005000</v>
      </c>
      <c r="K209" s="8">
        <v>32495000</v>
      </c>
      <c r="L209" s="8" t="s">
        <v>669</v>
      </c>
      <c r="M209" s="8" t="s">
        <v>38</v>
      </c>
      <c r="N209" s="8" t="s">
        <v>22</v>
      </c>
      <c r="O209" s="8" t="s">
        <v>77</v>
      </c>
    </row>
    <row r="210" spans="1:15">
      <c r="A210" s="8" t="s">
        <v>440</v>
      </c>
      <c r="B210" s="9">
        <v>46218</v>
      </c>
      <c r="C210" s="8" t="s">
        <v>148</v>
      </c>
      <c r="D210" s="8" t="s">
        <v>66</v>
      </c>
      <c r="E210" s="8" t="s">
        <v>441</v>
      </c>
      <c r="F210" s="8" t="s">
        <v>99</v>
      </c>
      <c r="G210" s="8" t="s">
        <v>100</v>
      </c>
      <c r="H210" s="8">
        <v>1</v>
      </c>
      <c r="I210" s="8">
        <v>29800000</v>
      </c>
      <c r="J210" s="8">
        <v>1490000</v>
      </c>
      <c r="K210" s="8">
        <v>28310000</v>
      </c>
      <c r="L210" s="8" t="s">
        <v>669</v>
      </c>
      <c r="M210" s="8" t="s">
        <v>62</v>
      </c>
      <c r="N210" s="8" t="s">
        <v>22</v>
      </c>
      <c r="O210" s="8" t="s">
        <v>23</v>
      </c>
    </row>
    <row r="211" spans="1:15">
      <c r="A211" s="8" t="s">
        <v>442</v>
      </c>
      <c r="B211" s="9">
        <v>46221</v>
      </c>
      <c r="C211" s="8" t="s">
        <v>148</v>
      </c>
      <c r="D211" s="8" t="s">
        <v>113</v>
      </c>
      <c r="E211" s="8" t="s">
        <v>178</v>
      </c>
      <c r="F211" s="8" t="s">
        <v>99</v>
      </c>
      <c r="G211" s="8" t="s">
        <v>100</v>
      </c>
      <c r="H211" s="8">
        <v>1</v>
      </c>
      <c r="I211" s="8">
        <v>29800000</v>
      </c>
      <c r="J211" s="8">
        <v>298000</v>
      </c>
      <c r="K211" s="8">
        <v>29502000</v>
      </c>
      <c r="L211" s="8" t="s">
        <v>669</v>
      </c>
      <c r="M211" s="8" t="s">
        <v>29</v>
      </c>
      <c r="N211" s="8" t="s">
        <v>22</v>
      </c>
      <c r="O211" s="8" t="s">
        <v>77</v>
      </c>
    </row>
    <row r="212" spans="1:15">
      <c r="A212" s="8" t="s">
        <v>443</v>
      </c>
      <c r="B212" s="9">
        <v>46219</v>
      </c>
      <c r="C212" s="8" t="s">
        <v>97</v>
      </c>
      <c r="D212" s="8" t="s">
        <v>145</v>
      </c>
      <c r="E212" s="8" t="s">
        <v>444</v>
      </c>
      <c r="F212" s="8" t="s">
        <v>36</v>
      </c>
      <c r="G212" s="8" t="s">
        <v>37</v>
      </c>
      <c r="H212" s="8">
        <v>1</v>
      </c>
      <c r="I212" s="8">
        <v>22300000</v>
      </c>
      <c r="J212" s="8">
        <v>1115000</v>
      </c>
      <c r="K212" s="8">
        <v>21185000</v>
      </c>
      <c r="L212" s="8" t="s">
        <v>669</v>
      </c>
      <c r="M212" s="8" t="s">
        <v>38</v>
      </c>
      <c r="N212" s="8" t="s">
        <v>22</v>
      </c>
      <c r="O212" s="8" t="s">
        <v>77</v>
      </c>
    </row>
    <row r="213" spans="1:15">
      <c r="A213" s="8" t="s">
        <v>445</v>
      </c>
      <c r="B213" s="9">
        <v>46219</v>
      </c>
      <c r="C213" s="8" t="s">
        <v>71</v>
      </c>
      <c r="D213" s="8" t="s">
        <v>242</v>
      </c>
      <c r="E213" s="8" t="s">
        <v>138</v>
      </c>
      <c r="F213" s="8" t="s">
        <v>91</v>
      </c>
      <c r="G213" s="8" t="s">
        <v>92</v>
      </c>
      <c r="H213" s="8">
        <v>2</v>
      </c>
      <c r="I213" s="8">
        <v>26900000</v>
      </c>
      <c r="J213" s="8">
        <v>538000</v>
      </c>
      <c r="K213" s="8">
        <v>53262000</v>
      </c>
      <c r="L213" s="8" t="s">
        <v>669</v>
      </c>
      <c r="M213" s="8" t="s">
        <v>29</v>
      </c>
      <c r="N213" s="8" t="s">
        <v>22</v>
      </c>
      <c r="O213" s="8" t="s">
        <v>23</v>
      </c>
    </row>
    <row r="214" spans="1:15">
      <c r="A214" s="8" t="s">
        <v>447</v>
      </c>
      <c r="B214" s="9">
        <v>46222</v>
      </c>
      <c r="C214" s="8" t="s">
        <v>71</v>
      </c>
      <c r="D214" s="8" t="s">
        <v>126</v>
      </c>
      <c r="E214" s="8" t="s">
        <v>448</v>
      </c>
      <c r="F214" s="8" t="s">
        <v>19</v>
      </c>
      <c r="G214" s="8" t="s">
        <v>20</v>
      </c>
      <c r="H214" s="8">
        <v>1</v>
      </c>
      <c r="I214" s="8">
        <v>33500000</v>
      </c>
      <c r="J214" s="8">
        <v>1675000</v>
      </c>
      <c r="K214" s="8">
        <v>31825000</v>
      </c>
      <c r="L214" s="8" t="s">
        <v>669</v>
      </c>
      <c r="M214" s="8" t="s">
        <v>29</v>
      </c>
      <c r="N214" s="8" t="s">
        <v>22</v>
      </c>
      <c r="O214" s="8" t="s">
        <v>77</v>
      </c>
    </row>
    <row r="215" spans="1:15">
      <c r="A215" s="8" t="s">
        <v>449</v>
      </c>
      <c r="B215" s="9">
        <v>46217</v>
      </c>
      <c r="C215" s="8" t="s">
        <v>182</v>
      </c>
      <c r="D215" s="8" t="s">
        <v>130</v>
      </c>
      <c r="E215" s="8" t="s">
        <v>450</v>
      </c>
      <c r="F215" s="8" t="s">
        <v>152</v>
      </c>
      <c r="G215" s="8" t="s">
        <v>153</v>
      </c>
      <c r="H215" s="8">
        <v>1</v>
      </c>
      <c r="I215" s="8">
        <v>27400000</v>
      </c>
      <c r="J215" s="8">
        <v>548000</v>
      </c>
      <c r="K215" s="8">
        <v>26852000</v>
      </c>
      <c r="L215" s="8" t="s">
        <v>669</v>
      </c>
      <c r="M215" s="8" t="s">
        <v>29</v>
      </c>
      <c r="N215" s="8" t="s">
        <v>22</v>
      </c>
      <c r="O215" s="8" t="s">
        <v>30</v>
      </c>
    </row>
    <row r="216" spans="1:15">
      <c r="A216" s="8" t="s">
        <v>451</v>
      </c>
      <c r="B216" s="9">
        <v>46219</v>
      </c>
      <c r="C216" s="8" t="s">
        <v>112</v>
      </c>
      <c r="D216" s="8" t="s">
        <v>80</v>
      </c>
      <c r="E216" s="8" t="s">
        <v>273</v>
      </c>
      <c r="F216" s="8" t="s">
        <v>68</v>
      </c>
      <c r="G216" s="8" t="s">
        <v>69</v>
      </c>
      <c r="H216" s="8">
        <v>1</v>
      </c>
      <c r="I216" s="8">
        <v>17800000</v>
      </c>
      <c r="J216" s="8">
        <v>0</v>
      </c>
      <c r="K216" s="8">
        <v>17800000</v>
      </c>
      <c r="L216" s="8" t="s">
        <v>669</v>
      </c>
      <c r="M216" s="8" t="s">
        <v>29</v>
      </c>
      <c r="N216" s="8" t="s">
        <v>22</v>
      </c>
      <c r="O216" s="8" t="s">
        <v>23</v>
      </c>
    </row>
    <row r="217" spans="1:15">
      <c r="A217" s="8" t="s">
        <v>452</v>
      </c>
      <c r="B217" s="9">
        <v>46222</v>
      </c>
      <c r="C217" s="8" t="s">
        <v>65</v>
      </c>
      <c r="D217" s="8" t="s">
        <v>201</v>
      </c>
      <c r="E217" s="8" t="s">
        <v>238</v>
      </c>
      <c r="F217" s="8" t="s">
        <v>44</v>
      </c>
      <c r="G217" s="8" t="s">
        <v>45</v>
      </c>
      <c r="H217" s="8">
        <v>1</v>
      </c>
      <c r="I217" s="8">
        <v>24600000</v>
      </c>
      <c r="J217" s="8">
        <v>738000</v>
      </c>
      <c r="K217" s="8">
        <v>23862000</v>
      </c>
      <c r="L217" s="8" t="s">
        <v>669</v>
      </c>
      <c r="M217" s="8" t="s">
        <v>62</v>
      </c>
      <c r="N217" s="8" t="s">
        <v>22</v>
      </c>
      <c r="O217" s="8" t="s">
        <v>23</v>
      </c>
    </row>
    <row r="218" spans="1:15">
      <c r="A218" s="8" t="s">
        <v>453</v>
      </c>
      <c r="B218" s="9">
        <v>46219</v>
      </c>
      <c r="C218" s="8" t="s">
        <v>26</v>
      </c>
      <c r="D218" s="8" t="s">
        <v>98</v>
      </c>
      <c r="E218" s="8" t="s">
        <v>454</v>
      </c>
      <c r="F218" s="8" t="s">
        <v>142</v>
      </c>
      <c r="G218" s="8" t="s">
        <v>143</v>
      </c>
      <c r="H218" s="8">
        <v>1</v>
      </c>
      <c r="I218" s="8">
        <v>18900000</v>
      </c>
      <c r="J218" s="8">
        <v>378000</v>
      </c>
      <c r="K218" s="8">
        <v>18522000</v>
      </c>
      <c r="L218" s="8" t="s">
        <v>669</v>
      </c>
      <c r="M218" s="8" t="s">
        <v>29</v>
      </c>
      <c r="N218" s="8" t="s">
        <v>22</v>
      </c>
      <c r="O218" s="8" t="s">
        <v>77</v>
      </c>
    </row>
    <row r="219" spans="1:15">
      <c r="A219" s="8" t="s">
        <v>455</v>
      </c>
      <c r="B219" s="9">
        <v>46220</v>
      </c>
      <c r="C219" s="8" t="s">
        <v>155</v>
      </c>
      <c r="D219" s="8" t="s">
        <v>113</v>
      </c>
      <c r="E219" s="8" t="s">
        <v>127</v>
      </c>
      <c r="F219" s="8" t="s">
        <v>44</v>
      </c>
      <c r="G219" s="8" t="s">
        <v>45</v>
      </c>
      <c r="H219" s="8">
        <v>1</v>
      </c>
      <c r="I219" s="8">
        <v>24600000</v>
      </c>
      <c r="J219" s="8">
        <v>0</v>
      </c>
      <c r="K219" s="8">
        <v>24600000</v>
      </c>
      <c r="L219" s="8" t="s">
        <v>669</v>
      </c>
      <c r="M219" s="8" t="s">
        <v>38</v>
      </c>
      <c r="N219" s="8" t="s">
        <v>22</v>
      </c>
      <c r="O219" s="8" t="s">
        <v>77</v>
      </c>
    </row>
    <row r="220" spans="1:15">
      <c r="A220" s="8" t="s">
        <v>456</v>
      </c>
      <c r="B220" s="9">
        <v>46220</v>
      </c>
      <c r="C220" s="8" t="s">
        <v>33</v>
      </c>
      <c r="D220" s="8" t="s">
        <v>168</v>
      </c>
      <c r="E220" s="8" t="s">
        <v>81</v>
      </c>
      <c r="F220" s="8" t="s">
        <v>19</v>
      </c>
      <c r="G220" s="8" t="s">
        <v>20</v>
      </c>
      <c r="H220" s="8">
        <v>1</v>
      </c>
      <c r="I220" s="8">
        <v>33500000</v>
      </c>
      <c r="J220" s="8">
        <v>0</v>
      </c>
      <c r="K220" s="8">
        <v>33500000</v>
      </c>
      <c r="L220" s="8" t="s">
        <v>669</v>
      </c>
      <c r="M220" s="8" t="s">
        <v>21</v>
      </c>
      <c r="N220" s="8" t="s">
        <v>82</v>
      </c>
      <c r="O220" s="8" t="s">
        <v>30</v>
      </c>
    </row>
    <row r="221" spans="1:15">
      <c r="A221" s="8" t="s">
        <v>457</v>
      </c>
      <c r="B221" s="9">
        <v>46220</v>
      </c>
      <c r="C221" s="8" t="s">
        <v>16</v>
      </c>
      <c r="D221" s="8" t="s">
        <v>242</v>
      </c>
      <c r="E221" s="8" t="s">
        <v>432</v>
      </c>
      <c r="F221" s="8" t="s">
        <v>99</v>
      </c>
      <c r="G221" s="8" t="s">
        <v>100</v>
      </c>
      <c r="H221" s="8">
        <v>1</v>
      </c>
      <c r="I221" s="8">
        <v>29800000</v>
      </c>
      <c r="J221" s="8">
        <v>0</v>
      </c>
      <c r="K221" s="8">
        <v>29800000</v>
      </c>
      <c r="L221" s="8" t="s">
        <v>669</v>
      </c>
      <c r="M221" s="8" t="s">
        <v>38</v>
      </c>
      <c r="N221" s="8" t="s">
        <v>22</v>
      </c>
      <c r="O221" s="8" t="s">
        <v>30</v>
      </c>
    </row>
    <row r="222" spans="1:15">
      <c r="A222" s="8" t="s">
        <v>458</v>
      </c>
      <c r="B222" s="9">
        <v>46221</v>
      </c>
      <c r="C222" s="8" t="s">
        <v>112</v>
      </c>
      <c r="D222" s="8" t="s">
        <v>75</v>
      </c>
      <c r="E222" s="8" t="s">
        <v>406</v>
      </c>
      <c r="F222" s="8" t="s">
        <v>99</v>
      </c>
      <c r="G222" s="8" t="s">
        <v>100</v>
      </c>
      <c r="H222" s="8">
        <v>1</v>
      </c>
      <c r="I222" s="8">
        <v>29800000</v>
      </c>
      <c r="J222" s="8">
        <v>596000</v>
      </c>
      <c r="K222" s="8">
        <v>29204000</v>
      </c>
      <c r="L222" s="8" t="s">
        <v>669</v>
      </c>
      <c r="M222" s="8" t="s">
        <v>21</v>
      </c>
      <c r="N222" s="8" t="s">
        <v>22</v>
      </c>
      <c r="O222" s="8" t="s">
        <v>39</v>
      </c>
    </row>
    <row r="223" spans="1:15">
      <c r="A223" s="8" t="s">
        <v>459</v>
      </c>
      <c r="B223" s="9">
        <v>46219</v>
      </c>
      <c r="C223" s="8" t="s">
        <v>48</v>
      </c>
      <c r="D223" s="8" t="s">
        <v>126</v>
      </c>
      <c r="E223" s="8" t="s">
        <v>404</v>
      </c>
      <c r="F223" s="8" t="s">
        <v>51</v>
      </c>
      <c r="G223" s="8" t="s">
        <v>52</v>
      </c>
      <c r="H223" s="8">
        <v>1</v>
      </c>
      <c r="I223" s="8">
        <v>41000000</v>
      </c>
      <c r="J223" s="8">
        <v>0</v>
      </c>
      <c r="K223" s="8">
        <v>41000000</v>
      </c>
      <c r="L223" s="8" t="s">
        <v>669</v>
      </c>
      <c r="M223" s="8" t="s">
        <v>38</v>
      </c>
      <c r="N223" s="8" t="s">
        <v>22</v>
      </c>
      <c r="O223" s="8" t="s">
        <v>23</v>
      </c>
    </row>
    <row r="224" spans="1:15">
      <c r="A224" s="8" t="s">
        <v>460</v>
      </c>
      <c r="B224" s="9">
        <v>46221</v>
      </c>
      <c r="C224" s="8" t="s">
        <v>65</v>
      </c>
      <c r="D224" s="8" t="s">
        <v>54</v>
      </c>
      <c r="E224" s="8" t="s">
        <v>461</v>
      </c>
      <c r="F224" s="8" t="s">
        <v>51</v>
      </c>
      <c r="G224" s="8" t="s">
        <v>52</v>
      </c>
      <c r="H224" s="8">
        <v>1</v>
      </c>
      <c r="I224" s="8">
        <v>41000000</v>
      </c>
      <c r="J224" s="8">
        <v>1230000</v>
      </c>
      <c r="K224" s="8">
        <v>39770000</v>
      </c>
      <c r="L224" s="8" t="s">
        <v>669</v>
      </c>
      <c r="M224" s="8" t="s">
        <v>46</v>
      </c>
      <c r="N224" s="8" t="s">
        <v>22</v>
      </c>
      <c r="O224" s="8" t="s">
        <v>39</v>
      </c>
    </row>
    <row r="225" spans="1:15">
      <c r="A225" s="8" t="s">
        <v>462</v>
      </c>
      <c r="B225" s="9">
        <v>46218</v>
      </c>
      <c r="C225" s="8" t="s">
        <v>71</v>
      </c>
      <c r="D225" s="8" t="s">
        <v>113</v>
      </c>
      <c r="E225" s="8" t="s">
        <v>372</v>
      </c>
      <c r="F225" s="8" t="s">
        <v>60</v>
      </c>
      <c r="G225" s="8" t="s">
        <v>61</v>
      </c>
      <c r="H225" s="8">
        <v>2</v>
      </c>
      <c r="I225" s="8">
        <v>21500000</v>
      </c>
      <c r="J225" s="8">
        <v>430000</v>
      </c>
      <c r="K225" s="8">
        <v>42570000</v>
      </c>
      <c r="L225" s="8" t="s">
        <v>669</v>
      </c>
      <c r="M225" s="8" t="s">
        <v>62</v>
      </c>
      <c r="N225" s="8" t="s">
        <v>22</v>
      </c>
      <c r="O225" s="8" t="s">
        <v>77</v>
      </c>
    </row>
    <row r="226" spans="1:15">
      <c r="A226" s="8" t="s">
        <v>463</v>
      </c>
      <c r="B226" s="9">
        <v>46218</v>
      </c>
      <c r="C226" s="8" t="s">
        <v>71</v>
      </c>
      <c r="D226" s="8" t="s">
        <v>113</v>
      </c>
      <c r="E226" s="8" t="s">
        <v>464</v>
      </c>
      <c r="F226" s="8" t="s">
        <v>60</v>
      </c>
      <c r="G226" s="8" t="s">
        <v>61</v>
      </c>
      <c r="H226" s="8">
        <v>1</v>
      </c>
      <c r="I226" s="8">
        <v>21500000</v>
      </c>
      <c r="J226" s="8">
        <v>215000</v>
      </c>
      <c r="K226" s="8">
        <v>21285000</v>
      </c>
      <c r="L226" s="8" t="s">
        <v>669</v>
      </c>
      <c r="M226" s="8" t="s">
        <v>46</v>
      </c>
      <c r="N226" s="8" t="s">
        <v>22</v>
      </c>
      <c r="O226" s="8" t="s">
        <v>30</v>
      </c>
    </row>
    <row r="227" spans="1:15">
      <c r="A227" s="8" t="s">
        <v>465</v>
      </c>
      <c r="B227" s="9">
        <v>46221</v>
      </c>
      <c r="C227" s="8" t="s">
        <v>16</v>
      </c>
      <c r="D227" s="8" t="s">
        <v>72</v>
      </c>
      <c r="E227" s="8" t="s">
        <v>466</v>
      </c>
      <c r="F227" s="8" t="s">
        <v>19</v>
      </c>
      <c r="G227" s="8" t="s">
        <v>20</v>
      </c>
      <c r="H227" s="8">
        <v>1</v>
      </c>
      <c r="I227" s="8">
        <v>33500000</v>
      </c>
      <c r="J227" s="8">
        <v>1005000</v>
      </c>
      <c r="K227" s="8">
        <v>32495000</v>
      </c>
      <c r="L227" s="8" t="s">
        <v>669</v>
      </c>
      <c r="M227" s="8" t="s">
        <v>21</v>
      </c>
      <c r="N227" s="8" t="s">
        <v>22</v>
      </c>
      <c r="O227" s="8" t="s">
        <v>39</v>
      </c>
    </row>
    <row r="228" spans="1:15">
      <c r="A228" s="8" t="s">
        <v>467</v>
      </c>
      <c r="B228" s="9">
        <v>46218</v>
      </c>
      <c r="C228" s="8" t="s">
        <v>85</v>
      </c>
      <c r="D228" s="8" t="s">
        <v>75</v>
      </c>
      <c r="E228" s="8" t="s">
        <v>468</v>
      </c>
      <c r="F228" s="8" t="s">
        <v>99</v>
      </c>
      <c r="G228" s="8" t="s">
        <v>100</v>
      </c>
      <c r="H228" s="8">
        <v>1</v>
      </c>
      <c r="I228" s="8">
        <v>29800000</v>
      </c>
      <c r="J228" s="8">
        <v>596000</v>
      </c>
      <c r="K228" s="8">
        <v>29204000</v>
      </c>
      <c r="L228" s="8" t="s">
        <v>669</v>
      </c>
      <c r="M228" s="8" t="s">
        <v>62</v>
      </c>
      <c r="N228" s="8" t="s">
        <v>87</v>
      </c>
      <c r="O228" s="8" t="s">
        <v>39</v>
      </c>
    </row>
    <row r="229" spans="1:15">
      <c r="A229" s="8" t="s">
        <v>469</v>
      </c>
      <c r="B229" s="9">
        <v>46218</v>
      </c>
      <c r="C229" s="8" t="s">
        <v>155</v>
      </c>
      <c r="D229" s="8" t="s">
        <v>130</v>
      </c>
      <c r="E229" s="8" t="s">
        <v>116</v>
      </c>
      <c r="F229" s="8" t="s">
        <v>99</v>
      </c>
      <c r="G229" s="8" t="s">
        <v>100</v>
      </c>
      <c r="H229" s="8">
        <v>2</v>
      </c>
      <c r="I229" s="8">
        <v>29800000</v>
      </c>
      <c r="J229" s="8">
        <v>2980000</v>
      </c>
      <c r="K229" s="8">
        <v>56620000</v>
      </c>
      <c r="L229" s="8" t="s">
        <v>669</v>
      </c>
      <c r="M229" s="8" t="s">
        <v>21</v>
      </c>
      <c r="N229" s="8" t="s">
        <v>22</v>
      </c>
      <c r="O229" s="8" t="s">
        <v>23</v>
      </c>
    </row>
    <row r="230" spans="1:15">
      <c r="A230" s="8" t="s">
        <v>471</v>
      </c>
      <c r="B230" s="9">
        <v>46222</v>
      </c>
      <c r="C230" s="8" t="s">
        <v>148</v>
      </c>
      <c r="D230" s="8" t="s">
        <v>17</v>
      </c>
      <c r="E230" s="8" t="s">
        <v>238</v>
      </c>
      <c r="F230" s="8" t="s">
        <v>19</v>
      </c>
      <c r="G230" s="8" t="s">
        <v>20</v>
      </c>
      <c r="H230" s="8">
        <v>1</v>
      </c>
      <c r="I230" s="8">
        <v>33500000</v>
      </c>
      <c r="J230" s="8">
        <v>1005000</v>
      </c>
      <c r="K230" s="8">
        <v>32495000</v>
      </c>
      <c r="L230" s="8" t="s">
        <v>669</v>
      </c>
      <c r="M230" s="8" t="s">
        <v>21</v>
      </c>
      <c r="N230" s="8" t="s">
        <v>22</v>
      </c>
      <c r="O230" s="8" t="s">
        <v>23</v>
      </c>
    </row>
    <row r="231" spans="1:15">
      <c r="A231" s="8" t="s">
        <v>472</v>
      </c>
      <c r="B231" s="9">
        <v>46217</v>
      </c>
      <c r="C231" s="8" t="s">
        <v>85</v>
      </c>
      <c r="D231" s="8" t="s">
        <v>72</v>
      </c>
      <c r="E231" s="8" t="s">
        <v>372</v>
      </c>
      <c r="F231" s="8" t="s">
        <v>19</v>
      </c>
      <c r="G231" s="8" t="s">
        <v>20</v>
      </c>
      <c r="H231" s="8">
        <v>1</v>
      </c>
      <c r="I231" s="8">
        <v>33500000</v>
      </c>
      <c r="J231" s="8">
        <v>0</v>
      </c>
      <c r="K231" s="8">
        <v>33500000</v>
      </c>
      <c r="L231" s="8" t="s">
        <v>669</v>
      </c>
      <c r="M231" s="8" t="s">
        <v>38</v>
      </c>
      <c r="N231" s="8" t="s">
        <v>22</v>
      </c>
      <c r="O231" s="8" t="s">
        <v>23</v>
      </c>
    </row>
    <row r="232" spans="1:15">
      <c r="A232" s="8" t="s">
        <v>473</v>
      </c>
      <c r="B232" s="9">
        <v>46221</v>
      </c>
      <c r="C232" s="8" t="s">
        <v>33</v>
      </c>
      <c r="D232" s="8" t="s">
        <v>27</v>
      </c>
      <c r="E232" s="8" t="s">
        <v>474</v>
      </c>
      <c r="F232" s="8" t="s">
        <v>68</v>
      </c>
      <c r="G232" s="8" t="s">
        <v>69</v>
      </c>
      <c r="H232" s="8">
        <v>1</v>
      </c>
      <c r="I232" s="8">
        <v>17800000</v>
      </c>
      <c r="J232" s="8">
        <v>890000</v>
      </c>
      <c r="K232" s="8">
        <v>16910000</v>
      </c>
      <c r="L232" s="8" t="s">
        <v>669</v>
      </c>
      <c r="M232" s="8" t="s">
        <v>62</v>
      </c>
      <c r="N232" s="8" t="s">
        <v>22</v>
      </c>
      <c r="O232" s="8" t="s">
        <v>23</v>
      </c>
    </row>
    <row r="233" spans="1:15">
      <c r="A233" s="8" t="s">
        <v>475</v>
      </c>
      <c r="B233" s="9">
        <v>46220</v>
      </c>
      <c r="C233" s="8" t="s">
        <v>16</v>
      </c>
      <c r="D233" s="8" t="s">
        <v>113</v>
      </c>
      <c r="E233" s="8" t="s">
        <v>476</v>
      </c>
      <c r="F233" s="8" t="s">
        <v>68</v>
      </c>
      <c r="G233" s="8" t="s">
        <v>69</v>
      </c>
      <c r="H233" s="8">
        <v>1</v>
      </c>
      <c r="I233" s="8">
        <v>17800000</v>
      </c>
      <c r="J233" s="8">
        <v>890000</v>
      </c>
      <c r="K233" s="8">
        <v>16910000</v>
      </c>
      <c r="L233" s="8" t="s">
        <v>669</v>
      </c>
      <c r="M233" s="8" t="s">
        <v>46</v>
      </c>
      <c r="N233" s="8" t="s">
        <v>22</v>
      </c>
      <c r="O233" s="8" t="s">
        <v>23</v>
      </c>
    </row>
    <row r="234" spans="1:15">
      <c r="A234" s="8" t="s">
        <v>477</v>
      </c>
      <c r="B234" s="9">
        <v>46217</v>
      </c>
      <c r="C234" s="8" t="s">
        <v>148</v>
      </c>
      <c r="D234" s="8" t="s">
        <v>72</v>
      </c>
      <c r="E234" s="8" t="s">
        <v>428</v>
      </c>
      <c r="F234" s="8" t="s">
        <v>60</v>
      </c>
      <c r="G234" s="8" t="s">
        <v>61</v>
      </c>
      <c r="H234" s="8">
        <v>1</v>
      </c>
      <c r="I234" s="8">
        <v>21500000</v>
      </c>
      <c r="J234" s="8">
        <v>430000</v>
      </c>
      <c r="K234" s="8">
        <v>21070000</v>
      </c>
      <c r="L234" s="8" t="s">
        <v>669</v>
      </c>
      <c r="M234" s="8" t="s">
        <v>46</v>
      </c>
      <c r="N234" s="8" t="s">
        <v>22</v>
      </c>
      <c r="O234" s="8" t="s">
        <v>39</v>
      </c>
    </row>
    <row r="235" spans="1:15">
      <c r="A235" s="8" t="s">
        <v>478</v>
      </c>
      <c r="B235" s="9">
        <v>46218</v>
      </c>
      <c r="C235" s="8" t="s">
        <v>155</v>
      </c>
      <c r="D235" s="8" t="s">
        <v>145</v>
      </c>
      <c r="E235" s="8" t="s">
        <v>169</v>
      </c>
      <c r="F235" s="8" t="s">
        <v>68</v>
      </c>
      <c r="G235" s="8" t="s">
        <v>69</v>
      </c>
      <c r="H235" s="8">
        <v>1</v>
      </c>
      <c r="I235" s="8">
        <v>17800000</v>
      </c>
      <c r="J235" s="8">
        <v>890000</v>
      </c>
      <c r="K235" s="8">
        <v>16910000</v>
      </c>
      <c r="L235" s="8" t="s">
        <v>669</v>
      </c>
      <c r="M235" s="8" t="s">
        <v>29</v>
      </c>
      <c r="N235" s="8" t="s">
        <v>82</v>
      </c>
      <c r="O235" s="8" t="s">
        <v>23</v>
      </c>
    </row>
    <row r="236" spans="1:15">
      <c r="A236" s="8" t="s">
        <v>479</v>
      </c>
      <c r="B236" s="9">
        <v>46219</v>
      </c>
      <c r="C236" s="8" t="s">
        <v>26</v>
      </c>
      <c r="D236" s="8" t="s">
        <v>98</v>
      </c>
      <c r="E236" s="8" t="s">
        <v>341</v>
      </c>
      <c r="F236" s="8" t="s">
        <v>152</v>
      </c>
      <c r="G236" s="8" t="s">
        <v>153</v>
      </c>
      <c r="H236" s="8">
        <v>1</v>
      </c>
      <c r="I236" s="8">
        <v>27400000</v>
      </c>
      <c r="J236" s="8">
        <v>1370000</v>
      </c>
      <c r="K236" s="8">
        <v>26030000</v>
      </c>
      <c r="L236" s="8" t="s">
        <v>669</v>
      </c>
      <c r="M236" s="8" t="s">
        <v>62</v>
      </c>
      <c r="N236" s="8" t="s">
        <v>22</v>
      </c>
      <c r="O236" s="8" t="s">
        <v>30</v>
      </c>
    </row>
    <row r="237" spans="1:15">
      <c r="A237" s="8" t="s">
        <v>480</v>
      </c>
      <c r="B237" s="9">
        <v>46219</v>
      </c>
      <c r="C237" s="8" t="s">
        <v>155</v>
      </c>
      <c r="D237" s="8" t="s">
        <v>54</v>
      </c>
      <c r="E237" s="8" t="s">
        <v>35</v>
      </c>
      <c r="F237" s="8" t="s">
        <v>99</v>
      </c>
      <c r="G237" s="8" t="s">
        <v>100</v>
      </c>
      <c r="H237" s="8">
        <v>1</v>
      </c>
      <c r="I237" s="8">
        <v>29800000</v>
      </c>
      <c r="J237" s="8">
        <v>298000</v>
      </c>
      <c r="K237" s="8">
        <v>29502000</v>
      </c>
      <c r="L237" s="8" t="s">
        <v>669</v>
      </c>
      <c r="M237" s="8" t="s">
        <v>29</v>
      </c>
      <c r="N237" s="8" t="s">
        <v>22</v>
      </c>
      <c r="O237" s="8" t="s">
        <v>23</v>
      </c>
    </row>
    <row r="238" spans="1:15">
      <c r="A238" s="8" t="s">
        <v>481</v>
      </c>
      <c r="B238" s="9">
        <v>46219</v>
      </c>
      <c r="C238" s="8" t="s">
        <v>182</v>
      </c>
      <c r="D238" s="8" t="s">
        <v>80</v>
      </c>
      <c r="E238" s="8" t="s">
        <v>482</v>
      </c>
      <c r="F238" s="8" t="s">
        <v>19</v>
      </c>
      <c r="G238" s="8" t="s">
        <v>20</v>
      </c>
      <c r="H238" s="8">
        <v>1</v>
      </c>
      <c r="I238" s="8">
        <v>33500000</v>
      </c>
      <c r="J238" s="8">
        <v>0</v>
      </c>
      <c r="K238" s="8">
        <v>33500000</v>
      </c>
      <c r="L238" s="8" t="s">
        <v>669</v>
      </c>
      <c r="M238" s="8" t="s">
        <v>29</v>
      </c>
      <c r="N238" s="8" t="s">
        <v>22</v>
      </c>
      <c r="O238" s="8" t="s">
        <v>30</v>
      </c>
    </row>
    <row r="239" spans="1:15">
      <c r="A239" s="8" t="s">
        <v>483</v>
      </c>
      <c r="B239" s="9">
        <v>46219</v>
      </c>
      <c r="C239" s="8" t="s">
        <v>33</v>
      </c>
      <c r="D239" s="8" t="s">
        <v>34</v>
      </c>
      <c r="E239" s="8" t="s">
        <v>484</v>
      </c>
      <c r="F239" s="8" t="s">
        <v>36</v>
      </c>
      <c r="G239" s="8" t="s">
        <v>37</v>
      </c>
      <c r="H239" s="8">
        <v>1</v>
      </c>
      <c r="I239" s="8">
        <v>22300000</v>
      </c>
      <c r="J239" s="8">
        <v>1115000</v>
      </c>
      <c r="K239" s="8">
        <v>21185000</v>
      </c>
      <c r="L239" s="8" t="s">
        <v>669</v>
      </c>
      <c r="M239" s="8" t="s">
        <v>21</v>
      </c>
      <c r="N239" s="8" t="s">
        <v>22</v>
      </c>
      <c r="O239" s="8" t="s">
        <v>39</v>
      </c>
    </row>
    <row r="240" spans="1:15">
      <c r="A240" s="8" t="s">
        <v>485</v>
      </c>
      <c r="B240" s="9">
        <v>46220</v>
      </c>
      <c r="C240" s="8" t="s">
        <v>148</v>
      </c>
      <c r="D240" s="8" t="s">
        <v>113</v>
      </c>
      <c r="E240" s="8" t="s">
        <v>280</v>
      </c>
      <c r="F240" s="8" t="s">
        <v>60</v>
      </c>
      <c r="G240" s="8" t="s">
        <v>61</v>
      </c>
      <c r="H240" s="8">
        <v>1</v>
      </c>
      <c r="I240" s="8">
        <v>21500000</v>
      </c>
      <c r="J240" s="8">
        <v>215000</v>
      </c>
      <c r="K240" s="8">
        <v>21285000</v>
      </c>
      <c r="L240" s="8" t="s">
        <v>669</v>
      </c>
      <c r="M240" s="8" t="s">
        <v>46</v>
      </c>
      <c r="N240" s="8" t="s">
        <v>22</v>
      </c>
      <c r="O240" s="8" t="s">
        <v>30</v>
      </c>
    </row>
    <row r="241" spans="1:15">
      <c r="A241" s="8" t="s">
        <v>486</v>
      </c>
      <c r="B241" s="9">
        <v>46220</v>
      </c>
      <c r="C241" s="8" t="s">
        <v>155</v>
      </c>
      <c r="D241" s="8" t="s">
        <v>34</v>
      </c>
      <c r="E241" s="8" t="s">
        <v>158</v>
      </c>
      <c r="F241" s="8" t="s">
        <v>44</v>
      </c>
      <c r="G241" s="8" t="s">
        <v>45</v>
      </c>
      <c r="H241" s="8">
        <v>1</v>
      </c>
      <c r="I241" s="8">
        <v>24600000</v>
      </c>
      <c r="J241" s="8">
        <v>0</v>
      </c>
      <c r="K241" s="8">
        <v>24600000</v>
      </c>
      <c r="L241" s="8" t="s">
        <v>669</v>
      </c>
      <c r="M241" s="8" t="s">
        <v>38</v>
      </c>
      <c r="N241" s="8" t="s">
        <v>22</v>
      </c>
      <c r="O241" s="8" t="s">
        <v>77</v>
      </c>
    </row>
    <row r="242" spans="1:15">
      <c r="A242" s="8" t="s">
        <v>487</v>
      </c>
      <c r="B242" s="9">
        <v>46219</v>
      </c>
      <c r="C242" s="8" t="s">
        <v>65</v>
      </c>
      <c r="D242" s="8" t="s">
        <v>66</v>
      </c>
      <c r="E242" s="8" t="s">
        <v>336</v>
      </c>
      <c r="F242" s="8" t="s">
        <v>152</v>
      </c>
      <c r="G242" s="8" t="s">
        <v>153</v>
      </c>
      <c r="H242" s="8">
        <v>1</v>
      </c>
      <c r="I242" s="8">
        <v>27400000</v>
      </c>
      <c r="J242" s="8">
        <v>0</v>
      </c>
      <c r="K242" s="8">
        <v>27400000</v>
      </c>
      <c r="L242" s="8" t="s">
        <v>669</v>
      </c>
      <c r="M242" s="8" t="s">
        <v>21</v>
      </c>
      <c r="N242" s="8" t="s">
        <v>22</v>
      </c>
      <c r="O242" s="8" t="s">
        <v>39</v>
      </c>
    </row>
    <row r="243" spans="1:15">
      <c r="A243" s="8" t="s">
        <v>488</v>
      </c>
      <c r="B243" s="9">
        <v>46222</v>
      </c>
      <c r="C243" s="8" t="s">
        <v>65</v>
      </c>
      <c r="D243" s="8" t="s">
        <v>94</v>
      </c>
      <c r="E243" s="8" t="s">
        <v>489</v>
      </c>
      <c r="F243" s="8" t="s">
        <v>19</v>
      </c>
      <c r="G243" s="8" t="s">
        <v>20</v>
      </c>
      <c r="H243" s="8">
        <v>1</v>
      </c>
      <c r="I243" s="8">
        <v>33500000</v>
      </c>
      <c r="J243" s="8">
        <v>0</v>
      </c>
      <c r="K243" s="8">
        <v>33500000</v>
      </c>
      <c r="L243" s="8" t="s">
        <v>669</v>
      </c>
      <c r="M243" s="8" t="s">
        <v>21</v>
      </c>
      <c r="N243" s="8" t="s">
        <v>22</v>
      </c>
      <c r="O243" s="8" t="s">
        <v>23</v>
      </c>
    </row>
    <row r="244" spans="1:15">
      <c r="A244" s="8" t="s">
        <v>490</v>
      </c>
      <c r="B244" s="9">
        <v>46218</v>
      </c>
      <c r="C244" s="8" t="s">
        <v>85</v>
      </c>
      <c r="D244" s="8" t="s">
        <v>49</v>
      </c>
      <c r="E244" s="8" t="s">
        <v>448</v>
      </c>
      <c r="F244" s="8" t="s">
        <v>19</v>
      </c>
      <c r="G244" s="8" t="s">
        <v>20</v>
      </c>
      <c r="H244" s="8">
        <v>1</v>
      </c>
      <c r="I244" s="8">
        <v>33500000</v>
      </c>
      <c r="J244" s="8">
        <v>670000</v>
      </c>
      <c r="K244" s="8">
        <v>32830000</v>
      </c>
      <c r="L244" s="8" t="s">
        <v>669</v>
      </c>
      <c r="M244" s="8" t="s">
        <v>21</v>
      </c>
      <c r="N244" s="8" t="s">
        <v>22</v>
      </c>
      <c r="O244" s="8" t="s">
        <v>39</v>
      </c>
    </row>
    <row r="245" spans="1:15">
      <c r="A245" s="8" t="s">
        <v>491</v>
      </c>
      <c r="B245" s="9">
        <v>46217</v>
      </c>
      <c r="C245" s="8" t="s">
        <v>85</v>
      </c>
      <c r="D245" s="8" t="s">
        <v>94</v>
      </c>
      <c r="E245" s="8" t="s">
        <v>492</v>
      </c>
      <c r="F245" s="8" t="s">
        <v>44</v>
      </c>
      <c r="G245" s="8" t="s">
        <v>45</v>
      </c>
      <c r="H245" s="8">
        <v>1</v>
      </c>
      <c r="I245" s="8">
        <v>24600000</v>
      </c>
      <c r="J245" s="8">
        <v>0</v>
      </c>
      <c r="K245" s="8">
        <v>24600000</v>
      </c>
      <c r="L245" s="8" t="s">
        <v>669</v>
      </c>
      <c r="M245" s="8" t="s">
        <v>29</v>
      </c>
      <c r="N245" s="8" t="s">
        <v>22</v>
      </c>
      <c r="O245" s="8" t="s">
        <v>39</v>
      </c>
    </row>
    <row r="246" spans="1:15">
      <c r="A246" s="8" t="s">
        <v>493</v>
      </c>
      <c r="B246" s="9">
        <v>46218</v>
      </c>
      <c r="C246" s="8" t="s">
        <v>48</v>
      </c>
      <c r="D246" s="8" t="s">
        <v>98</v>
      </c>
      <c r="E246" s="8" t="s">
        <v>466</v>
      </c>
      <c r="F246" s="8" t="s">
        <v>60</v>
      </c>
      <c r="G246" s="8" t="s">
        <v>61</v>
      </c>
      <c r="H246" s="8">
        <v>1</v>
      </c>
      <c r="I246" s="8">
        <v>21500000</v>
      </c>
      <c r="J246" s="8">
        <v>215000</v>
      </c>
      <c r="K246" s="8">
        <v>21285000</v>
      </c>
      <c r="L246" s="8" t="s">
        <v>669</v>
      </c>
      <c r="M246" s="8" t="s">
        <v>29</v>
      </c>
      <c r="N246" s="8" t="s">
        <v>87</v>
      </c>
      <c r="O246" s="8" t="s">
        <v>39</v>
      </c>
    </row>
    <row r="247" spans="1:15">
      <c r="A247" s="8" t="s">
        <v>494</v>
      </c>
      <c r="B247" s="9">
        <v>46216</v>
      </c>
      <c r="C247" s="8" t="s">
        <v>85</v>
      </c>
      <c r="D247" s="8" t="s">
        <v>126</v>
      </c>
      <c r="E247" s="8" t="s">
        <v>495</v>
      </c>
      <c r="F247" s="8" t="s">
        <v>142</v>
      </c>
      <c r="G247" s="8" t="s">
        <v>143</v>
      </c>
      <c r="H247" s="8">
        <v>1</v>
      </c>
      <c r="I247" s="8">
        <v>18900000</v>
      </c>
      <c r="J247" s="8">
        <v>567000</v>
      </c>
      <c r="K247" s="8">
        <v>18333000</v>
      </c>
      <c r="L247" s="8" t="s">
        <v>669</v>
      </c>
      <c r="M247" s="8" t="s">
        <v>62</v>
      </c>
      <c r="N247" s="8" t="s">
        <v>22</v>
      </c>
      <c r="O247" s="8" t="s">
        <v>30</v>
      </c>
    </row>
    <row r="248" spans="1:15">
      <c r="A248" s="8" t="s">
        <v>496</v>
      </c>
      <c r="B248" s="9">
        <v>46216</v>
      </c>
      <c r="C248" s="8" t="s">
        <v>65</v>
      </c>
      <c r="D248" s="8" t="s">
        <v>49</v>
      </c>
      <c r="E248" s="8" t="s">
        <v>223</v>
      </c>
      <c r="F248" s="8" t="s">
        <v>44</v>
      </c>
      <c r="G248" s="8" t="s">
        <v>45</v>
      </c>
      <c r="H248" s="8">
        <v>2</v>
      </c>
      <c r="I248" s="8">
        <v>24600000</v>
      </c>
      <c r="J248" s="8">
        <v>1476000</v>
      </c>
      <c r="K248" s="8">
        <v>47724000</v>
      </c>
      <c r="L248" s="8" t="s">
        <v>669</v>
      </c>
      <c r="M248" s="8" t="s">
        <v>46</v>
      </c>
      <c r="N248" s="8" t="s">
        <v>82</v>
      </c>
      <c r="O248" s="8" t="s">
        <v>30</v>
      </c>
    </row>
    <row r="249" spans="1:15">
      <c r="A249" s="8" t="s">
        <v>497</v>
      </c>
      <c r="B249" s="9">
        <v>46216</v>
      </c>
      <c r="C249" s="8" t="s">
        <v>65</v>
      </c>
      <c r="D249" s="8" t="s">
        <v>98</v>
      </c>
      <c r="E249" s="8" t="s">
        <v>312</v>
      </c>
      <c r="F249" s="8" t="s">
        <v>68</v>
      </c>
      <c r="G249" s="8" t="s">
        <v>69</v>
      </c>
      <c r="H249" s="8">
        <v>1</v>
      </c>
      <c r="I249" s="8">
        <v>17800000</v>
      </c>
      <c r="J249" s="8">
        <v>534000</v>
      </c>
      <c r="K249" s="8">
        <v>17266000</v>
      </c>
      <c r="L249" s="8" t="s">
        <v>669</v>
      </c>
      <c r="M249" s="8" t="s">
        <v>21</v>
      </c>
      <c r="N249" s="8" t="s">
        <v>22</v>
      </c>
      <c r="O249" s="8" t="s">
        <v>23</v>
      </c>
    </row>
    <row r="250" spans="1:15">
      <c r="A250" s="8" t="s">
        <v>498</v>
      </c>
      <c r="B250" s="9">
        <v>46218</v>
      </c>
      <c r="C250" s="8" t="s">
        <v>155</v>
      </c>
      <c r="D250" s="8" t="s">
        <v>80</v>
      </c>
      <c r="E250" s="8" t="s">
        <v>190</v>
      </c>
      <c r="F250" s="8" t="s">
        <v>152</v>
      </c>
      <c r="G250" s="8" t="s">
        <v>153</v>
      </c>
      <c r="H250" s="8">
        <v>1</v>
      </c>
      <c r="I250" s="8">
        <v>27400000</v>
      </c>
      <c r="J250" s="8">
        <v>0</v>
      </c>
      <c r="K250" s="8">
        <v>27400000</v>
      </c>
      <c r="L250" s="8" t="s">
        <v>669</v>
      </c>
      <c r="M250" s="8" t="s">
        <v>46</v>
      </c>
      <c r="N250" s="8" t="s">
        <v>22</v>
      </c>
      <c r="O250" s="8" t="s">
        <v>39</v>
      </c>
    </row>
    <row r="251" spans="1:15">
      <c r="A251" s="8" t="s">
        <v>499</v>
      </c>
      <c r="B251" s="9">
        <v>46220</v>
      </c>
      <c r="C251" s="8" t="s">
        <v>33</v>
      </c>
      <c r="D251" s="8" t="s">
        <v>145</v>
      </c>
      <c r="E251" s="8" t="s">
        <v>269</v>
      </c>
      <c r="F251" s="8" t="s">
        <v>152</v>
      </c>
      <c r="G251" s="8" t="s">
        <v>153</v>
      </c>
      <c r="H251" s="8">
        <v>1</v>
      </c>
      <c r="I251" s="8">
        <v>27400000</v>
      </c>
      <c r="J251" s="8">
        <v>1370000</v>
      </c>
      <c r="K251" s="8">
        <v>26030000</v>
      </c>
      <c r="L251" s="8" t="s">
        <v>669</v>
      </c>
      <c r="M251" s="8" t="s">
        <v>38</v>
      </c>
      <c r="N251" s="8" t="s">
        <v>22</v>
      </c>
      <c r="O251" s="8" t="s">
        <v>23</v>
      </c>
    </row>
    <row r="252" spans="1:15">
      <c r="A252" s="8" t="s">
        <v>500</v>
      </c>
      <c r="B252" s="9">
        <v>46222</v>
      </c>
      <c r="C252" s="8" t="s">
        <v>48</v>
      </c>
      <c r="D252" s="8" t="s">
        <v>130</v>
      </c>
      <c r="E252" s="8" t="s">
        <v>194</v>
      </c>
      <c r="F252" s="8" t="s">
        <v>142</v>
      </c>
      <c r="G252" s="8" t="s">
        <v>143</v>
      </c>
      <c r="H252" s="8">
        <v>2</v>
      </c>
      <c r="I252" s="8">
        <v>18900000</v>
      </c>
      <c r="J252" s="8">
        <v>1134000</v>
      </c>
      <c r="K252" s="8">
        <v>36666000</v>
      </c>
      <c r="L252" s="8" t="s">
        <v>669</v>
      </c>
      <c r="M252" s="8" t="s">
        <v>21</v>
      </c>
      <c r="N252" s="8" t="s">
        <v>22</v>
      </c>
      <c r="O252" s="8" t="s">
        <v>30</v>
      </c>
    </row>
    <row r="253" spans="1:15">
      <c r="A253" s="8" t="s">
        <v>501</v>
      </c>
      <c r="B253" s="9">
        <v>46221</v>
      </c>
      <c r="C253" s="8" t="s">
        <v>155</v>
      </c>
      <c r="D253" s="8" t="s">
        <v>58</v>
      </c>
      <c r="E253" s="8" t="s">
        <v>59</v>
      </c>
      <c r="F253" s="8" t="s">
        <v>60</v>
      </c>
      <c r="G253" s="8" t="s">
        <v>61</v>
      </c>
      <c r="H253" s="8">
        <v>1</v>
      </c>
      <c r="I253" s="8">
        <v>21500000</v>
      </c>
      <c r="J253" s="8">
        <v>0</v>
      </c>
      <c r="K253" s="8">
        <v>21500000</v>
      </c>
      <c r="L253" s="8" t="s">
        <v>669</v>
      </c>
      <c r="M253" s="8" t="s">
        <v>29</v>
      </c>
      <c r="N253" s="8" t="s">
        <v>22</v>
      </c>
      <c r="O253" s="8" t="s">
        <v>23</v>
      </c>
    </row>
    <row r="254" spans="1:15">
      <c r="A254" s="8" t="s">
        <v>502</v>
      </c>
      <c r="B254" s="9">
        <v>46217</v>
      </c>
      <c r="C254" s="8" t="s">
        <v>182</v>
      </c>
      <c r="D254" s="8" t="s">
        <v>58</v>
      </c>
      <c r="E254" s="8" t="s">
        <v>503</v>
      </c>
      <c r="F254" s="8" t="s">
        <v>19</v>
      </c>
      <c r="G254" s="8" t="s">
        <v>20</v>
      </c>
      <c r="H254" s="8">
        <v>1</v>
      </c>
      <c r="I254" s="8">
        <v>33500000</v>
      </c>
      <c r="J254" s="8">
        <v>1675000</v>
      </c>
      <c r="K254" s="8">
        <v>31825000</v>
      </c>
      <c r="L254" s="8" t="s">
        <v>669</v>
      </c>
      <c r="M254" s="8" t="s">
        <v>21</v>
      </c>
      <c r="N254" s="8" t="s">
        <v>22</v>
      </c>
      <c r="O254" s="8" t="s">
        <v>23</v>
      </c>
    </row>
    <row r="255" spans="1:15">
      <c r="A255" s="8" t="s">
        <v>504</v>
      </c>
      <c r="B255" s="9">
        <v>46217</v>
      </c>
      <c r="C255" s="8" t="s">
        <v>155</v>
      </c>
      <c r="D255" s="8" t="s">
        <v>113</v>
      </c>
      <c r="E255" s="8" t="s">
        <v>265</v>
      </c>
      <c r="F255" s="8" t="s">
        <v>68</v>
      </c>
      <c r="G255" s="8" t="s">
        <v>69</v>
      </c>
      <c r="H255" s="8">
        <v>1</v>
      </c>
      <c r="I255" s="8">
        <v>17800000</v>
      </c>
      <c r="J255" s="8">
        <v>0</v>
      </c>
      <c r="K255" s="8">
        <v>17800000</v>
      </c>
      <c r="L255" s="8" t="s">
        <v>669</v>
      </c>
      <c r="M255" s="8" t="s">
        <v>38</v>
      </c>
      <c r="N255" s="8" t="s">
        <v>22</v>
      </c>
      <c r="O255" s="8" t="s">
        <v>23</v>
      </c>
    </row>
    <row r="256" spans="1:15">
      <c r="A256" s="8" t="s">
        <v>505</v>
      </c>
      <c r="B256" s="9">
        <v>46222</v>
      </c>
      <c r="C256" s="8" t="s">
        <v>65</v>
      </c>
      <c r="D256" s="8" t="s">
        <v>168</v>
      </c>
      <c r="E256" s="8" t="s">
        <v>670</v>
      </c>
      <c r="F256" s="8" t="s">
        <v>36</v>
      </c>
      <c r="G256" s="8" t="s">
        <v>37</v>
      </c>
      <c r="H256" s="8">
        <v>1</v>
      </c>
      <c r="I256" s="8">
        <v>22300000</v>
      </c>
      <c r="J256" s="8">
        <v>446000</v>
      </c>
      <c r="K256" s="8">
        <v>21854000</v>
      </c>
      <c r="L256" s="8" t="s">
        <v>669</v>
      </c>
      <c r="M256" s="8" t="s">
        <v>46</v>
      </c>
      <c r="N256" s="8" t="s">
        <v>82</v>
      </c>
      <c r="O256" s="8" t="s">
        <v>30</v>
      </c>
    </row>
    <row r="257" spans="1:15">
      <c r="A257" s="8" t="s">
        <v>506</v>
      </c>
      <c r="B257" s="9">
        <v>46216</v>
      </c>
      <c r="C257" s="8" t="s">
        <v>48</v>
      </c>
      <c r="D257" s="8" t="s">
        <v>27</v>
      </c>
      <c r="E257" s="8" t="s">
        <v>507</v>
      </c>
      <c r="F257" s="8" t="s">
        <v>99</v>
      </c>
      <c r="G257" s="8" t="s">
        <v>100</v>
      </c>
      <c r="H257" s="8">
        <v>1</v>
      </c>
      <c r="I257" s="8">
        <v>29800000</v>
      </c>
      <c r="J257" s="8">
        <v>894000</v>
      </c>
      <c r="K257" s="8">
        <v>28906000</v>
      </c>
      <c r="L257" s="8" t="s">
        <v>669</v>
      </c>
      <c r="M257" s="8" t="s">
        <v>46</v>
      </c>
      <c r="N257" s="8" t="s">
        <v>22</v>
      </c>
      <c r="O257" s="8" t="s">
        <v>39</v>
      </c>
    </row>
    <row r="258" spans="1:15">
      <c r="A258" s="8" t="s">
        <v>508</v>
      </c>
      <c r="B258" s="9">
        <v>46222</v>
      </c>
      <c r="C258" s="8" t="s">
        <v>33</v>
      </c>
      <c r="D258" s="8" t="s">
        <v>42</v>
      </c>
      <c r="E258" s="8" t="s">
        <v>509</v>
      </c>
      <c r="F258" s="8" t="s">
        <v>44</v>
      </c>
      <c r="G258" s="8" t="s">
        <v>45</v>
      </c>
      <c r="H258" s="8">
        <v>1</v>
      </c>
      <c r="I258" s="8">
        <v>24600000</v>
      </c>
      <c r="J258" s="8">
        <v>738000</v>
      </c>
      <c r="K258" s="8">
        <v>23862000</v>
      </c>
      <c r="L258" s="8" t="s">
        <v>669</v>
      </c>
      <c r="M258" s="8" t="s">
        <v>21</v>
      </c>
      <c r="N258" s="8" t="s">
        <v>22</v>
      </c>
      <c r="O258" s="8" t="s">
        <v>30</v>
      </c>
    </row>
    <row r="259" spans="1:15">
      <c r="A259" s="8" t="s">
        <v>510</v>
      </c>
      <c r="B259" s="9">
        <v>46217</v>
      </c>
      <c r="C259" s="8" t="s">
        <v>48</v>
      </c>
      <c r="D259" s="8" t="s">
        <v>66</v>
      </c>
      <c r="E259" s="8" t="s">
        <v>333</v>
      </c>
      <c r="F259" s="8" t="s">
        <v>19</v>
      </c>
      <c r="G259" s="8" t="s">
        <v>20</v>
      </c>
      <c r="H259" s="8">
        <v>1</v>
      </c>
      <c r="I259" s="8">
        <v>33500000</v>
      </c>
      <c r="J259" s="8">
        <v>335000</v>
      </c>
      <c r="K259" s="8">
        <v>33165000</v>
      </c>
      <c r="L259" s="8" t="s">
        <v>669</v>
      </c>
      <c r="M259" s="8" t="s">
        <v>21</v>
      </c>
      <c r="N259" s="8" t="s">
        <v>22</v>
      </c>
      <c r="O259" s="8" t="s">
        <v>77</v>
      </c>
    </row>
    <row r="260" spans="1:15">
      <c r="A260" s="8" t="s">
        <v>511</v>
      </c>
      <c r="B260" s="9">
        <v>46220</v>
      </c>
      <c r="C260" s="8" t="s">
        <v>155</v>
      </c>
      <c r="D260" s="8" t="s">
        <v>126</v>
      </c>
      <c r="E260" s="8" t="s">
        <v>512</v>
      </c>
      <c r="F260" s="8" t="s">
        <v>44</v>
      </c>
      <c r="G260" s="8" t="s">
        <v>45</v>
      </c>
      <c r="H260" s="8">
        <v>1</v>
      </c>
      <c r="I260" s="8">
        <v>24600000</v>
      </c>
      <c r="J260" s="8">
        <v>492000</v>
      </c>
      <c r="K260" s="8">
        <v>24108000</v>
      </c>
      <c r="L260" s="8" t="s">
        <v>669</v>
      </c>
      <c r="M260" s="8" t="s">
        <v>29</v>
      </c>
      <c r="N260" s="8" t="s">
        <v>22</v>
      </c>
      <c r="O260" s="8" t="s">
        <v>23</v>
      </c>
    </row>
    <row r="261" spans="1:15">
      <c r="A261" s="8" t="s">
        <v>513</v>
      </c>
      <c r="B261" s="9">
        <v>46217</v>
      </c>
      <c r="C261" s="8" t="s">
        <v>85</v>
      </c>
      <c r="D261" s="8" t="s">
        <v>49</v>
      </c>
      <c r="E261" s="8" t="s">
        <v>349</v>
      </c>
      <c r="F261" s="8" t="s">
        <v>36</v>
      </c>
      <c r="G261" s="8" t="s">
        <v>37</v>
      </c>
      <c r="H261" s="8">
        <v>1</v>
      </c>
      <c r="I261" s="8">
        <v>22300000</v>
      </c>
      <c r="J261" s="8">
        <v>0</v>
      </c>
      <c r="K261" s="8">
        <v>22300000</v>
      </c>
      <c r="L261" s="8" t="s">
        <v>669</v>
      </c>
      <c r="M261" s="8" t="s">
        <v>21</v>
      </c>
      <c r="N261" s="8" t="s">
        <v>22</v>
      </c>
      <c r="O261" s="8" t="s">
        <v>77</v>
      </c>
    </row>
    <row r="262" spans="1:15">
      <c r="A262" s="8" t="s">
        <v>514</v>
      </c>
      <c r="B262" s="9">
        <v>46221</v>
      </c>
      <c r="C262" s="8" t="s">
        <v>148</v>
      </c>
      <c r="D262" s="8" t="s">
        <v>94</v>
      </c>
      <c r="E262" s="8" t="s">
        <v>176</v>
      </c>
      <c r="F262" s="8" t="s">
        <v>99</v>
      </c>
      <c r="G262" s="8" t="s">
        <v>100</v>
      </c>
      <c r="H262" s="8">
        <v>1</v>
      </c>
      <c r="I262" s="8">
        <v>29800000</v>
      </c>
      <c r="J262" s="8">
        <v>0</v>
      </c>
      <c r="K262" s="8">
        <v>29800000</v>
      </c>
      <c r="L262" s="8" t="s">
        <v>669</v>
      </c>
      <c r="M262" s="8" t="s">
        <v>21</v>
      </c>
      <c r="N262" s="8" t="s">
        <v>22</v>
      </c>
      <c r="O262" s="8" t="s">
        <v>23</v>
      </c>
    </row>
    <row r="263" spans="1:15">
      <c r="A263" s="8" t="s">
        <v>309</v>
      </c>
      <c r="B263" s="9">
        <v>46222</v>
      </c>
      <c r="C263" s="8" t="s">
        <v>182</v>
      </c>
      <c r="D263" s="8" t="s">
        <v>80</v>
      </c>
      <c r="E263" s="8" t="s">
        <v>310</v>
      </c>
      <c r="F263" s="8" t="s">
        <v>142</v>
      </c>
      <c r="G263" s="8" t="s">
        <v>143</v>
      </c>
      <c r="H263" s="8">
        <v>1</v>
      </c>
      <c r="I263" s="8">
        <v>18900000</v>
      </c>
      <c r="J263" s="8">
        <v>567000</v>
      </c>
      <c r="K263" s="8">
        <v>18333000</v>
      </c>
      <c r="L263" s="8" t="s">
        <v>669</v>
      </c>
      <c r="M263" s="8" t="s">
        <v>46</v>
      </c>
      <c r="N263" s="8" t="s">
        <v>22</v>
      </c>
      <c r="O263" s="8" t="s">
        <v>30</v>
      </c>
    </row>
    <row r="264" spans="1:15">
      <c r="A264" s="8" t="s">
        <v>515</v>
      </c>
      <c r="B264" s="9">
        <v>46219</v>
      </c>
      <c r="C264" s="8" t="s">
        <v>33</v>
      </c>
      <c r="D264" s="8" t="s">
        <v>130</v>
      </c>
      <c r="E264" s="8" t="s">
        <v>482</v>
      </c>
      <c r="F264" s="8" t="s">
        <v>68</v>
      </c>
      <c r="G264" s="8" t="s">
        <v>69</v>
      </c>
      <c r="H264" s="8">
        <v>1</v>
      </c>
      <c r="I264" s="8">
        <v>17800000</v>
      </c>
      <c r="J264" s="8">
        <v>178000</v>
      </c>
      <c r="K264" s="8">
        <v>17622000</v>
      </c>
      <c r="L264" s="8" t="s">
        <v>669</v>
      </c>
      <c r="M264" s="8" t="s">
        <v>62</v>
      </c>
      <c r="N264" s="8" t="s">
        <v>22</v>
      </c>
      <c r="O264" s="8" t="s">
        <v>23</v>
      </c>
    </row>
    <row r="265" spans="1:15">
      <c r="A265" s="8" t="s">
        <v>516</v>
      </c>
      <c r="B265" s="9">
        <v>46222</v>
      </c>
      <c r="C265" s="8" t="s">
        <v>33</v>
      </c>
      <c r="D265" s="8" t="s">
        <v>49</v>
      </c>
      <c r="E265" s="8" t="s">
        <v>517</v>
      </c>
      <c r="F265" s="8" t="s">
        <v>19</v>
      </c>
      <c r="G265" s="8" t="s">
        <v>20</v>
      </c>
      <c r="H265" s="8">
        <v>1</v>
      </c>
      <c r="I265" s="8">
        <v>33500000</v>
      </c>
      <c r="J265" s="8">
        <v>335000</v>
      </c>
      <c r="K265" s="8">
        <v>33165000</v>
      </c>
      <c r="L265" s="8" t="s">
        <v>669</v>
      </c>
      <c r="M265" s="8" t="s">
        <v>38</v>
      </c>
      <c r="N265" s="8" t="s">
        <v>22</v>
      </c>
      <c r="O265" s="8" t="s">
        <v>77</v>
      </c>
    </row>
    <row r="266" spans="1:15">
      <c r="A266" s="8" t="s">
        <v>518</v>
      </c>
      <c r="B266" s="9">
        <v>46216</v>
      </c>
      <c r="C266" s="8" t="s">
        <v>155</v>
      </c>
      <c r="D266" s="8" t="s">
        <v>42</v>
      </c>
      <c r="E266" s="8" t="s">
        <v>519</v>
      </c>
      <c r="F266" s="8" t="s">
        <v>99</v>
      </c>
      <c r="G266" s="8" t="s">
        <v>100</v>
      </c>
      <c r="H266" s="8">
        <v>1</v>
      </c>
      <c r="I266" s="8">
        <v>29800000</v>
      </c>
      <c r="J266" s="8">
        <v>298000</v>
      </c>
      <c r="K266" s="8">
        <v>29502000</v>
      </c>
      <c r="L266" s="8" t="s">
        <v>669</v>
      </c>
      <c r="M266" s="8" t="s">
        <v>29</v>
      </c>
      <c r="N266" s="8" t="s">
        <v>22</v>
      </c>
      <c r="O266" s="8" t="s">
        <v>39</v>
      </c>
    </row>
    <row r="267" spans="1:15">
      <c r="A267" s="8" t="s">
        <v>520</v>
      </c>
      <c r="B267" s="9">
        <v>46217</v>
      </c>
      <c r="C267" s="8" t="s">
        <v>182</v>
      </c>
      <c r="D267" s="8" t="s">
        <v>27</v>
      </c>
      <c r="E267" s="8" t="s">
        <v>521</v>
      </c>
      <c r="F267" s="8" t="s">
        <v>99</v>
      </c>
      <c r="G267" s="8" t="s">
        <v>100</v>
      </c>
      <c r="H267" s="8">
        <v>1</v>
      </c>
      <c r="I267" s="8">
        <v>29800000</v>
      </c>
      <c r="J267" s="8">
        <v>596000</v>
      </c>
      <c r="K267" s="8">
        <v>29204000</v>
      </c>
      <c r="L267" s="8" t="s">
        <v>669</v>
      </c>
      <c r="M267" s="8" t="s">
        <v>21</v>
      </c>
      <c r="N267" s="8" t="s">
        <v>22</v>
      </c>
      <c r="O267" s="8" t="s">
        <v>39</v>
      </c>
    </row>
    <row r="268" spans="1:15">
      <c r="A268" s="8" t="s">
        <v>522</v>
      </c>
      <c r="B268" s="9">
        <v>46221</v>
      </c>
      <c r="C268" s="8" t="s">
        <v>148</v>
      </c>
      <c r="D268" s="8" t="s">
        <v>94</v>
      </c>
      <c r="E268" s="8" t="s">
        <v>35</v>
      </c>
      <c r="F268" s="8" t="s">
        <v>36</v>
      </c>
      <c r="G268" s="8" t="s">
        <v>37</v>
      </c>
      <c r="H268" s="8">
        <v>1</v>
      </c>
      <c r="I268" s="8">
        <v>22300000</v>
      </c>
      <c r="J268" s="8">
        <v>446000</v>
      </c>
      <c r="K268" s="8">
        <v>21854000</v>
      </c>
      <c r="L268" s="8" t="s">
        <v>669</v>
      </c>
      <c r="M268" s="8" t="s">
        <v>38</v>
      </c>
      <c r="N268" s="8" t="s">
        <v>22</v>
      </c>
      <c r="O268" s="8" t="s">
        <v>23</v>
      </c>
    </row>
    <row r="269" spans="1:15">
      <c r="A269" s="8" t="s">
        <v>523</v>
      </c>
      <c r="B269" s="9">
        <v>46221</v>
      </c>
      <c r="C269" s="8" t="s">
        <v>182</v>
      </c>
      <c r="D269" s="8" t="s">
        <v>42</v>
      </c>
      <c r="E269" s="8" t="s">
        <v>423</v>
      </c>
      <c r="F269" s="8" t="s">
        <v>68</v>
      </c>
      <c r="G269" s="8" t="s">
        <v>69</v>
      </c>
      <c r="H269" s="8">
        <v>1</v>
      </c>
      <c r="I269" s="8">
        <v>17800000</v>
      </c>
      <c r="J269" s="8">
        <v>178000</v>
      </c>
      <c r="K269" s="8">
        <v>17622000</v>
      </c>
      <c r="L269" s="8" t="s">
        <v>669</v>
      </c>
      <c r="M269" s="8" t="s">
        <v>62</v>
      </c>
      <c r="N269" s="8" t="s">
        <v>22</v>
      </c>
      <c r="O269" s="8" t="s">
        <v>23</v>
      </c>
    </row>
    <row r="270" spans="1:15">
      <c r="A270" s="8" t="s">
        <v>524</v>
      </c>
      <c r="B270" s="9">
        <v>46221</v>
      </c>
      <c r="C270" s="8" t="s">
        <v>148</v>
      </c>
      <c r="D270" s="8" t="s">
        <v>75</v>
      </c>
      <c r="E270" s="8" t="s">
        <v>109</v>
      </c>
      <c r="F270" s="8" t="s">
        <v>44</v>
      </c>
      <c r="G270" s="8" t="s">
        <v>45</v>
      </c>
      <c r="H270" s="8">
        <v>1</v>
      </c>
      <c r="I270" s="8">
        <v>24600000</v>
      </c>
      <c r="J270" s="8">
        <v>738000</v>
      </c>
      <c r="K270" s="8">
        <v>23862000</v>
      </c>
      <c r="L270" s="8" t="s">
        <v>669</v>
      </c>
      <c r="M270" s="8" t="s">
        <v>38</v>
      </c>
      <c r="N270" s="8" t="s">
        <v>22</v>
      </c>
      <c r="O270" s="8" t="s">
        <v>30</v>
      </c>
    </row>
    <row r="271" spans="1:15">
      <c r="A271" s="8" t="s">
        <v>525</v>
      </c>
      <c r="B271" s="9">
        <v>46219</v>
      </c>
      <c r="C271" s="8" t="s">
        <v>48</v>
      </c>
      <c r="D271" s="8" t="s">
        <v>126</v>
      </c>
      <c r="E271" s="8" t="s">
        <v>349</v>
      </c>
      <c r="F271" s="8" t="s">
        <v>36</v>
      </c>
      <c r="G271" s="8" t="s">
        <v>37</v>
      </c>
      <c r="H271" s="8">
        <v>1</v>
      </c>
      <c r="I271" s="8">
        <v>22300000</v>
      </c>
      <c r="J271" s="8">
        <v>446000</v>
      </c>
      <c r="K271" s="8">
        <v>21854000</v>
      </c>
      <c r="L271" s="8" t="s">
        <v>669</v>
      </c>
      <c r="M271" s="8" t="s">
        <v>62</v>
      </c>
      <c r="N271" s="8" t="s">
        <v>82</v>
      </c>
      <c r="O271" s="8" t="s">
        <v>30</v>
      </c>
    </row>
    <row r="272" spans="1:15">
      <c r="A272" s="8" t="s">
        <v>526</v>
      </c>
      <c r="B272" s="9">
        <v>46219</v>
      </c>
      <c r="C272" s="8" t="s">
        <v>33</v>
      </c>
      <c r="D272" s="8" t="s">
        <v>17</v>
      </c>
      <c r="E272" s="8" t="s">
        <v>156</v>
      </c>
      <c r="F272" s="8" t="s">
        <v>19</v>
      </c>
      <c r="G272" s="8" t="s">
        <v>20</v>
      </c>
      <c r="H272" s="8">
        <v>1</v>
      </c>
      <c r="I272" s="8">
        <v>33500000</v>
      </c>
      <c r="J272" s="8">
        <v>1005000</v>
      </c>
      <c r="K272" s="8">
        <v>32495000</v>
      </c>
      <c r="L272" s="8" t="s">
        <v>669</v>
      </c>
      <c r="M272" s="8" t="s">
        <v>21</v>
      </c>
      <c r="N272" s="8" t="s">
        <v>22</v>
      </c>
      <c r="O272" s="8" t="s">
        <v>77</v>
      </c>
    </row>
    <row r="273" spans="1:15">
      <c r="A273" s="8" t="s">
        <v>527</v>
      </c>
      <c r="B273" s="9">
        <v>46222</v>
      </c>
      <c r="C273" s="8" t="s">
        <v>182</v>
      </c>
      <c r="D273" s="8" t="s">
        <v>94</v>
      </c>
      <c r="E273" s="8" t="s">
        <v>103</v>
      </c>
      <c r="F273" s="8" t="s">
        <v>44</v>
      </c>
      <c r="G273" s="8" t="s">
        <v>45</v>
      </c>
      <c r="H273" s="8">
        <v>1</v>
      </c>
      <c r="I273" s="8">
        <v>24600000</v>
      </c>
      <c r="J273" s="8">
        <v>738000</v>
      </c>
      <c r="K273" s="8">
        <v>23862000</v>
      </c>
      <c r="L273" s="8" t="s">
        <v>669</v>
      </c>
      <c r="M273" s="8" t="s">
        <v>29</v>
      </c>
      <c r="N273" s="8" t="s">
        <v>22</v>
      </c>
      <c r="O273" s="8" t="s">
        <v>77</v>
      </c>
    </row>
    <row r="274" spans="1:15">
      <c r="A274" s="8" t="s">
        <v>528</v>
      </c>
      <c r="B274" s="9">
        <v>46219</v>
      </c>
      <c r="C274" s="8" t="s">
        <v>26</v>
      </c>
      <c r="D274" s="8" t="s">
        <v>80</v>
      </c>
      <c r="E274" s="8" t="s">
        <v>529</v>
      </c>
      <c r="F274" s="8" t="s">
        <v>19</v>
      </c>
      <c r="G274" s="8" t="s">
        <v>20</v>
      </c>
      <c r="H274" s="8">
        <v>1</v>
      </c>
      <c r="I274" s="8">
        <v>33500000</v>
      </c>
      <c r="J274" s="8">
        <v>670000</v>
      </c>
      <c r="K274" s="8">
        <v>32830000</v>
      </c>
      <c r="L274" s="8" t="s">
        <v>669</v>
      </c>
      <c r="M274" s="8" t="s">
        <v>62</v>
      </c>
      <c r="N274" s="8" t="s">
        <v>22</v>
      </c>
      <c r="O274" s="8" t="s">
        <v>77</v>
      </c>
    </row>
    <row r="275" spans="1:15">
      <c r="A275" s="8" t="s">
        <v>530</v>
      </c>
      <c r="B275" s="9">
        <v>46217</v>
      </c>
      <c r="C275" s="8" t="s">
        <v>48</v>
      </c>
      <c r="D275" s="8" t="s">
        <v>98</v>
      </c>
      <c r="E275" s="8" t="s">
        <v>495</v>
      </c>
      <c r="F275" s="8" t="s">
        <v>142</v>
      </c>
      <c r="G275" s="8" t="s">
        <v>143</v>
      </c>
      <c r="H275" s="8">
        <v>1</v>
      </c>
      <c r="I275" s="8">
        <v>18900000</v>
      </c>
      <c r="J275" s="8">
        <v>0</v>
      </c>
      <c r="K275" s="8">
        <v>18900000</v>
      </c>
      <c r="L275" s="8" t="s">
        <v>669</v>
      </c>
      <c r="M275" s="8" t="s">
        <v>21</v>
      </c>
      <c r="N275" s="8" t="s">
        <v>22</v>
      </c>
      <c r="O275" s="8" t="s">
        <v>39</v>
      </c>
    </row>
    <row r="276" spans="1:15">
      <c r="A276" s="8" t="s">
        <v>531</v>
      </c>
      <c r="B276" s="9">
        <v>46221</v>
      </c>
      <c r="C276" s="8" t="s">
        <v>71</v>
      </c>
      <c r="D276" s="8" t="s">
        <v>201</v>
      </c>
      <c r="E276" s="8" t="s">
        <v>275</v>
      </c>
      <c r="F276" s="8" t="s">
        <v>36</v>
      </c>
      <c r="G276" s="8" t="s">
        <v>37</v>
      </c>
      <c r="H276" s="8">
        <v>1</v>
      </c>
      <c r="I276" s="8">
        <v>22300000</v>
      </c>
      <c r="J276" s="8">
        <v>669000</v>
      </c>
      <c r="K276" s="8">
        <v>21631000</v>
      </c>
      <c r="L276" s="8" t="s">
        <v>669</v>
      </c>
      <c r="M276" s="8" t="s">
        <v>21</v>
      </c>
      <c r="N276" s="8" t="s">
        <v>82</v>
      </c>
      <c r="O276" s="8" t="s">
        <v>39</v>
      </c>
    </row>
    <row r="277" spans="1:15">
      <c r="A277" s="8" t="s">
        <v>532</v>
      </c>
      <c r="B277" s="9">
        <v>46217</v>
      </c>
      <c r="C277" s="8" t="s">
        <v>16</v>
      </c>
      <c r="D277" s="8" t="s">
        <v>58</v>
      </c>
      <c r="E277" s="8" t="s">
        <v>320</v>
      </c>
      <c r="F277" s="8" t="s">
        <v>68</v>
      </c>
      <c r="G277" s="8" t="s">
        <v>69</v>
      </c>
      <c r="H277" s="8">
        <v>1</v>
      </c>
      <c r="I277" s="8">
        <v>17800000</v>
      </c>
      <c r="J277" s="8">
        <v>0</v>
      </c>
      <c r="K277" s="8">
        <v>17800000</v>
      </c>
      <c r="L277" s="8" t="s">
        <v>669</v>
      </c>
      <c r="M277" s="8" t="s">
        <v>38</v>
      </c>
      <c r="N277" s="8" t="s">
        <v>22</v>
      </c>
      <c r="O277" s="8" t="s">
        <v>39</v>
      </c>
    </row>
    <row r="278" spans="1:15">
      <c r="A278" s="8" t="s">
        <v>533</v>
      </c>
      <c r="B278" s="9">
        <v>46221</v>
      </c>
      <c r="C278" s="8" t="s">
        <v>155</v>
      </c>
      <c r="D278" s="8" t="s">
        <v>126</v>
      </c>
      <c r="E278" s="8" t="s">
        <v>225</v>
      </c>
      <c r="F278" s="8" t="s">
        <v>142</v>
      </c>
      <c r="G278" s="8" t="s">
        <v>143</v>
      </c>
      <c r="H278" s="8">
        <v>1</v>
      </c>
      <c r="I278" s="8">
        <v>18900000</v>
      </c>
      <c r="J278" s="8">
        <v>945000</v>
      </c>
      <c r="K278" s="8">
        <v>17955000</v>
      </c>
      <c r="L278" s="8" t="s">
        <v>669</v>
      </c>
      <c r="M278" s="8" t="s">
        <v>29</v>
      </c>
      <c r="N278" s="8" t="s">
        <v>22</v>
      </c>
      <c r="O278" s="8" t="s">
        <v>39</v>
      </c>
    </row>
    <row r="279" spans="1:15">
      <c r="A279" s="8" t="s">
        <v>534</v>
      </c>
      <c r="B279" s="9">
        <v>46219</v>
      </c>
      <c r="C279" s="8" t="s">
        <v>155</v>
      </c>
      <c r="D279" s="8" t="s">
        <v>670</v>
      </c>
      <c r="E279" s="8" t="s">
        <v>223</v>
      </c>
      <c r="F279" s="8" t="s">
        <v>152</v>
      </c>
      <c r="G279" s="8" t="s">
        <v>153</v>
      </c>
      <c r="H279" s="8">
        <v>1</v>
      </c>
      <c r="I279" s="8">
        <v>27400000</v>
      </c>
      <c r="J279" s="8">
        <v>0</v>
      </c>
      <c r="K279" s="8">
        <v>27400000</v>
      </c>
      <c r="L279" s="8" t="s">
        <v>669</v>
      </c>
      <c r="M279" s="8" t="s">
        <v>46</v>
      </c>
      <c r="N279" s="8" t="s">
        <v>82</v>
      </c>
      <c r="O279" s="8" t="s">
        <v>39</v>
      </c>
    </row>
    <row r="280" spans="1:15">
      <c r="A280" s="8" t="s">
        <v>535</v>
      </c>
      <c r="B280" s="9">
        <v>46221</v>
      </c>
      <c r="C280" s="8" t="s">
        <v>16</v>
      </c>
      <c r="D280" s="8" t="s">
        <v>670</v>
      </c>
      <c r="E280" s="8" t="s">
        <v>116</v>
      </c>
      <c r="F280" s="8" t="s">
        <v>36</v>
      </c>
      <c r="G280" s="8" t="s">
        <v>37</v>
      </c>
      <c r="H280" s="8">
        <v>2</v>
      </c>
      <c r="I280" s="8">
        <v>22300000</v>
      </c>
      <c r="J280" s="8">
        <v>446000</v>
      </c>
      <c r="K280" s="8">
        <v>44154000</v>
      </c>
      <c r="L280" s="8" t="s">
        <v>669</v>
      </c>
      <c r="M280" s="8" t="s">
        <v>46</v>
      </c>
      <c r="N280" s="8" t="s">
        <v>22</v>
      </c>
      <c r="O280" s="8" t="s">
        <v>39</v>
      </c>
    </row>
    <row r="281" spans="1:15">
      <c r="A281" s="8" t="s">
        <v>536</v>
      </c>
      <c r="B281" s="9">
        <v>46221</v>
      </c>
      <c r="C281" s="8" t="s">
        <v>97</v>
      </c>
      <c r="D281" s="8" t="s">
        <v>94</v>
      </c>
      <c r="E281" s="8" t="s">
        <v>402</v>
      </c>
      <c r="F281" s="8" t="s">
        <v>99</v>
      </c>
      <c r="G281" s="8" t="s">
        <v>100</v>
      </c>
      <c r="H281" s="8">
        <v>1</v>
      </c>
      <c r="I281" s="8">
        <v>29800000</v>
      </c>
      <c r="J281" s="8">
        <v>298000</v>
      </c>
      <c r="K281" s="8">
        <v>29502000</v>
      </c>
      <c r="L281" s="8" t="s">
        <v>669</v>
      </c>
      <c r="M281" s="8" t="s">
        <v>46</v>
      </c>
      <c r="N281" s="8" t="s">
        <v>22</v>
      </c>
      <c r="O281" s="8" t="s">
        <v>77</v>
      </c>
    </row>
    <row r="282" spans="1:15">
      <c r="A282" s="8" t="s">
        <v>537</v>
      </c>
      <c r="B282" s="9">
        <v>46218</v>
      </c>
      <c r="C282" s="8" t="s">
        <v>85</v>
      </c>
      <c r="D282" s="8" t="s">
        <v>58</v>
      </c>
      <c r="E282" s="8" t="s">
        <v>76</v>
      </c>
      <c r="F282" s="8" t="s">
        <v>60</v>
      </c>
      <c r="G282" s="8" t="s">
        <v>61</v>
      </c>
      <c r="H282" s="8">
        <v>1</v>
      </c>
      <c r="I282" s="8">
        <v>21500000</v>
      </c>
      <c r="J282" s="8">
        <v>645000</v>
      </c>
      <c r="K282" s="8">
        <v>20855000</v>
      </c>
      <c r="L282" s="8" t="s">
        <v>669</v>
      </c>
      <c r="M282" s="8" t="s">
        <v>29</v>
      </c>
      <c r="N282" s="8" t="s">
        <v>22</v>
      </c>
      <c r="O282" s="8" t="s">
        <v>39</v>
      </c>
    </row>
    <row r="283" spans="1:15">
      <c r="A283" s="8" t="s">
        <v>538</v>
      </c>
      <c r="B283" s="9">
        <v>46219</v>
      </c>
      <c r="C283" s="8" t="s">
        <v>148</v>
      </c>
      <c r="D283" s="8" t="s">
        <v>98</v>
      </c>
      <c r="E283" s="8" t="s">
        <v>418</v>
      </c>
      <c r="F283" s="8" t="s">
        <v>99</v>
      </c>
      <c r="G283" s="8" t="s">
        <v>100</v>
      </c>
      <c r="H283" s="8">
        <v>1</v>
      </c>
      <c r="I283" s="8">
        <v>29800000</v>
      </c>
      <c r="J283" s="8">
        <v>1490000</v>
      </c>
      <c r="K283" s="8">
        <v>28310000</v>
      </c>
      <c r="L283" s="8" t="s">
        <v>669</v>
      </c>
      <c r="M283" s="8" t="s">
        <v>29</v>
      </c>
      <c r="N283" s="8" t="s">
        <v>22</v>
      </c>
      <c r="O283" s="8" t="s">
        <v>77</v>
      </c>
    </row>
    <row r="284" spans="1:15">
      <c r="A284" s="8" t="s">
        <v>539</v>
      </c>
      <c r="B284" s="9">
        <v>46217</v>
      </c>
      <c r="C284" s="8" t="s">
        <v>85</v>
      </c>
      <c r="D284" s="8" t="s">
        <v>72</v>
      </c>
      <c r="E284" s="8" t="s">
        <v>540</v>
      </c>
      <c r="F284" s="8" t="s">
        <v>142</v>
      </c>
      <c r="G284" s="8" t="s">
        <v>143</v>
      </c>
      <c r="H284" s="8">
        <v>1</v>
      </c>
      <c r="I284" s="8">
        <v>18900000</v>
      </c>
      <c r="J284" s="8">
        <v>0</v>
      </c>
      <c r="K284" s="8">
        <v>18900000</v>
      </c>
      <c r="L284" s="8" t="s">
        <v>669</v>
      </c>
      <c r="M284" s="8" t="s">
        <v>38</v>
      </c>
      <c r="N284" s="8" t="s">
        <v>22</v>
      </c>
      <c r="O284" s="8" t="s">
        <v>23</v>
      </c>
    </row>
    <row r="285" spans="1:15">
      <c r="A285" s="8" t="s">
        <v>541</v>
      </c>
      <c r="B285" s="9">
        <v>46219</v>
      </c>
      <c r="C285" s="8" t="s">
        <v>65</v>
      </c>
      <c r="D285" s="8" t="s">
        <v>201</v>
      </c>
      <c r="E285" s="8" t="s">
        <v>484</v>
      </c>
      <c r="F285" s="8" t="s">
        <v>60</v>
      </c>
      <c r="G285" s="8" t="s">
        <v>61</v>
      </c>
      <c r="H285" s="8">
        <v>1</v>
      </c>
      <c r="I285" s="8">
        <v>21500000</v>
      </c>
      <c r="J285" s="8">
        <v>0</v>
      </c>
      <c r="K285" s="8">
        <v>21500000</v>
      </c>
      <c r="L285" s="8" t="s">
        <v>669</v>
      </c>
      <c r="M285" s="8" t="s">
        <v>29</v>
      </c>
      <c r="N285" s="8" t="s">
        <v>87</v>
      </c>
      <c r="O285" s="8" t="s">
        <v>23</v>
      </c>
    </row>
    <row r="286" spans="1:15">
      <c r="A286" s="8" t="s">
        <v>542</v>
      </c>
      <c r="B286" s="9">
        <v>46221</v>
      </c>
      <c r="C286" s="8" t="s">
        <v>48</v>
      </c>
      <c r="D286" s="8" t="s">
        <v>113</v>
      </c>
      <c r="E286" s="8" t="s">
        <v>543</v>
      </c>
      <c r="F286" s="8" t="s">
        <v>91</v>
      </c>
      <c r="G286" s="8" t="s">
        <v>92</v>
      </c>
      <c r="H286" s="8">
        <v>1</v>
      </c>
      <c r="I286" s="8">
        <v>26900000</v>
      </c>
      <c r="J286" s="8">
        <v>1345000</v>
      </c>
      <c r="K286" s="8">
        <v>25555000</v>
      </c>
      <c r="L286" s="8" t="s">
        <v>669</v>
      </c>
      <c r="M286" s="8" t="s">
        <v>62</v>
      </c>
      <c r="N286" s="8" t="s">
        <v>22</v>
      </c>
      <c r="O286" s="8" t="s">
        <v>23</v>
      </c>
    </row>
    <row r="287" spans="1:15">
      <c r="A287" s="8" t="s">
        <v>544</v>
      </c>
      <c r="B287" s="9">
        <v>46218</v>
      </c>
      <c r="C287" s="8" t="s">
        <v>48</v>
      </c>
      <c r="D287" s="8" t="s">
        <v>72</v>
      </c>
      <c r="E287" s="8" t="s">
        <v>249</v>
      </c>
      <c r="F287" s="8" t="s">
        <v>19</v>
      </c>
      <c r="G287" s="8" t="s">
        <v>20</v>
      </c>
      <c r="H287" s="8">
        <v>1</v>
      </c>
      <c r="I287" s="8">
        <v>33500000</v>
      </c>
      <c r="J287" s="8">
        <v>0</v>
      </c>
      <c r="K287" s="8">
        <v>33500000</v>
      </c>
      <c r="L287" s="8" t="s">
        <v>669</v>
      </c>
      <c r="M287" s="8" t="s">
        <v>29</v>
      </c>
      <c r="N287" s="8" t="s">
        <v>87</v>
      </c>
      <c r="O287" s="8" t="s">
        <v>77</v>
      </c>
    </row>
    <row r="288" spans="1:15">
      <c r="A288" s="8" t="s">
        <v>545</v>
      </c>
      <c r="B288" s="9">
        <v>46219</v>
      </c>
      <c r="C288" s="8" t="s">
        <v>26</v>
      </c>
      <c r="D288" s="8" t="s">
        <v>75</v>
      </c>
      <c r="E288" s="8" t="s">
        <v>546</v>
      </c>
      <c r="F288" s="8" t="s">
        <v>51</v>
      </c>
      <c r="G288" s="8" t="s">
        <v>52</v>
      </c>
      <c r="H288" s="8">
        <v>1</v>
      </c>
      <c r="I288" s="8">
        <v>41000000</v>
      </c>
      <c r="J288" s="8">
        <v>0</v>
      </c>
      <c r="K288" s="8">
        <v>41000000</v>
      </c>
      <c r="L288" s="8" t="s">
        <v>669</v>
      </c>
      <c r="M288" s="8" t="s">
        <v>62</v>
      </c>
      <c r="N288" s="8" t="s">
        <v>22</v>
      </c>
      <c r="O288" s="8" t="s">
        <v>77</v>
      </c>
    </row>
    <row r="289" spans="1:15">
      <c r="A289" s="8" t="s">
        <v>547</v>
      </c>
      <c r="B289" s="9">
        <v>46221</v>
      </c>
      <c r="C289" s="8" t="s">
        <v>97</v>
      </c>
      <c r="D289" s="8" t="s">
        <v>42</v>
      </c>
      <c r="E289" s="8" t="s">
        <v>450</v>
      </c>
      <c r="F289" s="8" t="s">
        <v>152</v>
      </c>
      <c r="G289" s="8" t="s">
        <v>153</v>
      </c>
      <c r="H289" s="8">
        <v>1</v>
      </c>
      <c r="I289" s="8">
        <v>27400000</v>
      </c>
      <c r="J289" s="8">
        <v>0</v>
      </c>
      <c r="K289" s="8">
        <v>27400000</v>
      </c>
      <c r="L289" s="8" t="s">
        <v>669</v>
      </c>
      <c r="M289" s="8" t="s">
        <v>21</v>
      </c>
      <c r="N289" s="8" t="s">
        <v>22</v>
      </c>
      <c r="O289" s="8" t="s">
        <v>30</v>
      </c>
    </row>
    <row r="290" spans="1:15">
      <c r="A290" s="8" t="s">
        <v>548</v>
      </c>
      <c r="B290" s="9">
        <v>46222</v>
      </c>
      <c r="C290" s="8" t="s">
        <v>148</v>
      </c>
      <c r="D290" s="8" t="s">
        <v>80</v>
      </c>
      <c r="E290" s="8" t="s">
        <v>549</v>
      </c>
      <c r="F290" s="8" t="s">
        <v>19</v>
      </c>
      <c r="G290" s="8" t="s">
        <v>20</v>
      </c>
      <c r="H290" s="8">
        <v>1</v>
      </c>
      <c r="I290" s="8">
        <v>33500000</v>
      </c>
      <c r="J290" s="8">
        <v>670000</v>
      </c>
      <c r="K290" s="8">
        <v>32830000</v>
      </c>
      <c r="L290" s="8" t="s">
        <v>669</v>
      </c>
      <c r="M290" s="8" t="s">
        <v>21</v>
      </c>
      <c r="N290" s="8" t="s">
        <v>22</v>
      </c>
      <c r="O290" s="8" t="s">
        <v>30</v>
      </c>
    </row>
    <row r="291" spans="1:15">
      <c r="A291" s="8" t="s">
        <v>550</v>
      </c>
      <c r="B291" s="9">
        <v>46218</v>
      </c>
      <c r="C291" s="8" t="s">
        <v>71</v>
      </c>
      <c r="D291" s="8" t="s">
        <v>49</v>
      </c>
      <c r="E291" s="8" t="s">
        <v>551</v>
      </c>
      <c r="F291" s="8" t="s">
        <v>99</v>
      </c>
      <c r="G291" s="8" t="s">
        <v>100</v>
      </c>
      <c r="H291" s="8">
        <v>1</v>
      </c>
      <c r="I291" s="8">
        <v>29800000</v>
      </c>
      <c r="J291" s="8">
        <v>0</v>
      </c>
      <c r="K291" s="8">
        <v>29800000</v>
      </c>
      <c r="L291" s="8" t="s">
        <v>669</v>
      </c>
      <c r="M291" s="8" t="s">
        <v>29</v>
      </c>
      <c r="N291" s="8" t="s">
        <v>22</v>
      </c>
      <c r="O291" s="8" t="s">
        <v>30</v>
      </c>
    </row>
    <row r="292" spans="1:15">
      <c r="A292" s="8" t="s">
        <v>552</v>
      </c>
      <c r="B292" s="9">
        <v>46219</v>
      </c>
      <c r="C292" s="8" t="s">
        <v>65</v>
      </c>
      <c r="D292" s="8" t="s">
        <v>126</v>
      </c>
      <c r="E292" s="8" t="s">
        <v>314</v>
      </c>
      <c r="F292" s="8" t="s">
        <v>44</v>
      </c>
      <c r="G292" s="8" t="s">
        <v>45</v>
      </c>
      <c r="H292" s="8">
        <v>1</v>
      </c>
      <c r="I292" s="8">
        <v>24600000</v>
      </c>
      <c r="J292" s="8">
        <v>738000</v>
      </c>
      <c r="K292" s="8">
        <v>23862000</v>
      </c>
      <c r="L292" s="8" t="s">
        <v>669</v>
      </c>
      <c r="M292" s="8" t="s">
        <v>21</v>
      </c>
      <c r="N292" s="8" t="s">
        <v>82</v>
      </c>
      <c r="O292" s="8" t="s">
        <v>77</v>
      </c>
    </row>
    <row r="293" spans="1:15">
      <c r="A293" s="8" t="s">
        <v>553</v>
      </c>
      <c r="B293" s="9">
        <v>46221</v>
      </c>
      <c r="C293" s="8" t="s">
        <v>85</v>
      </c>
      <c r="D293" s="8" t="s">
        <v>670</v>
      </c>
      <c r="E293" s="8" t="s">
        <v>234</v>
      </c>
      <c r="F293" s="8" t="s">
        <v>152</v>
      </c>
      <c r="G293" s="8" t="s">
        <v>153</v>
      </c>
      <c r="H293" s="8">
        <v>1</v>
      </c>
      <c r="I293" s="8">
        <v>27400000</v>
      </c>
      <c r="J293" s="8">
        <v>822000</v>
      </c>
      <c r="K293" s="8">
        <v>26578000</v>
      </c>
      <c r="L293" s="8" t="s">
        <v>669</v>
      </c>
      <c r="M293" s="8" t="s">
        <v>29</v>
      </c>
      <c r="N293" s="8" t="s">
        <v>22</v>
      </c>
      <c r="O293" s="8" t="s">
        <v>30</v>
      </c>
    </row>
    <row r="294" spans="1:15">
      <c r="A294" s="8" t="s">
        <v>554</v>
      </c>
      <c r="B294" s="9">
        <v>46220</v>
      </c>
      <c r="C294" s="8" t="s">
        <v>48</v>
      </c>
      <c r="D294" s="8" t="s">
        <v>27</v>
      </c>
      <c r="E294" s="8" t="s">
        <v>450</v>
      </c>
      <c r="F294" s="8" t="s">
        <v>99</v>
      </c>
      <c r="G294" s="8" t="s">
        <v>100</v>
      </c>
      <c r="H294" s="8">
        <v>1</v>
      </c>
      <c r="I294" s="8">
        <v>29800000</v>
      </c>
      <c r="J294" s="8">
        <v>0</v>
      </c>
      <c r="K294" s="8">
        <v>29800000</v>
      </c>
      <c r="L294" s="8" t="s">
        <v>669</v>
      </c>
      <c r="M294" s="8" t="s">
        <v>46</v>
      </c>
      <c r="N294" s="8" t="s">
        <v>22</v>
      </c>
      <c r="O294" s="8" t="s">
        <v>23</v>
      </c>
    </row>
    <row r="295" spans="1:15">
      <c r="A295" s="8" t="s">
        <v>555</v>
      </c>
      <c r="B295" s="9">
        <v>46216</v>
      </c>
      <c r="C295" s="8" t="s">
        <v>85</v>
      </c>
      <c r="D295" s="8" t="s">
        <v>130</v>
      </c>
      <c r="E295" s="8" t="s">
        <v>163</v>
      </c>
      <c r="F295" s="8" t="s">
        <v>19</v>
      </c>
      <c r="G295" s="8" t="s">
        <v>20</v>
      </c>
      <c r="H295" s="8">
        <v>1</v>
      </c>
      <c r="I295" s="8">
        <v>33500000</v>
      </c>
      <c r="J295" s="8">
        <v>670000</v>
      </c>
      <c r="K295" s="8">
        <v>32830000</v>
      </c>
      <c r="L295" s="8" t="s">
        <v>669</v>
      </c>
      <c r="M295" s="8" t="s">
        <v>46</v>
      </c>
      <c r="N295" s="8" t="s">
        <v>82</v>
      </c>
      <c r="O295" s="8" t="s">
        <v>23</v>
      </c>
    </row>
    <row r="296" spans="1:15">
      <c r="A296" s="8" t="s">
        <v>556</v>
      </c>
      <c r="B296" s="9">
        <v>46219</v>
      </c>
      <c r="C296" s="8" t="s">
        <v>26</v>
      </c>
      <c r="D296" s="8" t="s">
        <v>58</v>
      </c>
      <c r="E296" s="8" t="s">
        <v>219</v>
      </c>
      <c r="F296" s="8" t="s">
        <v>152</v>
      </c>
      <c r="G296" s="8" t="s">
        <v>153</v>
      </c>
      <c r="H296" s="8">
        <v>2</v>
      </c>
      <c r="I296" s="8">
        <v>27400000</v>
      </c>
      <c r="J296" s="8">
        <v>0</v>
      </c>
      <c r="K296" s="8">
        <v>54800000</v>
      </c>
      <c r="L296" s="8" t="s">
        <v>669</v>
      </c>
      <c r="M296" s="8" t="s">
        <v>46</v>
      </c>
      <c r="N296" s="8" t="s">
        <v>22</v>
      </c>
      <c r="O296" s="8" t="s">
        <v>77</v>
      </c>
    </row>
    <row r="297" spans="1:15">
      <c r="A297" s="8" t="s">
        <v>557</v>
      </c>
      <c r="B297" s="9">
        <v>46217</v>
      </c>
      <c r="C297" s="8" t="s">
        <v>97</v>
      </c>
      <c r="D297" s="8" t="s">
        <v>17</v>
      </c>
      <c r="E297" s="8" t="s">
        <v>127</v>
      </c>
      <c r="F297" s="8" t="s">
        <v>44</v>
      </c>
      <c r="G297" s="8" t="s">
        <v>45</v>
      </c>
      <c r="H297" s="8">
        <v>1</v>
      </c>
      <c r="I297" s="8">
        <v>24600000</v>
      </c>
      <c r="J297" s="8">
        <v>492000</v>
      </c>
      <c r="K297" s="8">
        <v>24108000</v>
      </c>
      <c r="L297" s="8" t="s">
        <v>669</v>
      </c>
      <c r="M297" s="8" t="s">
        <v>29</v>
      </c>
      <c r="N297" s="8" t="s">
        <v>82</v>
      </c>
      <c r="O297" s="8" t="s">
        <v>23</v>
      </c>
    </row>
    <row r="298" spans="1:15">
      <c r="A298" s="8" t="s">
        <v>558</v>
      </c>
      <c r="B298" s="9">
        <v>46216</v>
      </c>
      <c r="C298" s="8" t="s">
        <v>112</v>
      </c>
      <c r="D298" s="8" t="s">
        <v>130</v>
      </c>
      <c r="E298" s="8" t="s">
        <v>428</v>
      </c>
      <c r="F298" s="8" t="s">
        <v>60</v>
      </c>
      <c r="G298" s="8" t="s">
        <v>61</v>
      </c>
      <c r="H298" s="8">
        <v>1</v>
      </c>
      <c r="I298" s="8">
        <v>21500000</v>
      </c>
      <c r="J298" s="8">
        <v>0</v>
      </c>
      <c r="K298" s="8">
        <v>21500000</v>
      </c>
      <c r="L298" s="8" t="s">
        <v>669</v>
      </c>
      <c r="M298" s="8" t="s">
        <v>21</v>
      </c>
      <c r="N298" s="8" t="s">
        <v>22</v>
      </c>
      <c r="O298" s="8" t="s">
        <v>39</v>
      </c>
    </row>
    <row r="299" spans="1:15">
      <c r="A299" s="8" t="s">
        <v>559</v>
      </c>
      <c r="B299" s="9">
        <v>46221</v>
      </c>
      <c r="C299" s="8" t="s">
        <v>26</v>
      </c>
      <c r="D299" s="8" t="s">
        <v>42</v>
      </c>
      <c r="E299" s="8" t="s">
        <v>109</v>
      </c>
      <c r="F299" s="8" t="s">
        <v>19</v>
      </c>
      <c r="G299" s="8" t="s">
        <v>20</v>
      </c>
      <c r="H299" s="8">
        <v>1</v>
      </c>
      <c r="I299" s="8">
        <v>33500000</v>
      </c>
      <c r="J299" s="8">
        <v>0</v>
      </c>
      <c r="K299" s="8">
        <v>33500000</v>
      </c>
      <c r="L299" s="8" t="s">
        <v>669</v>
      </c>
      <c r="M299" s="8" t="s">
        <v>21</v>
      </c>
      <c r="N299" s="8" t="s">
        <v>22</v>
      </c>
      <c r="O299" s="8" t="s">
        <v>23</v>
      </c>
    </row>
    <row r="300" spans="1:15">
      <c r="A300" s="8" t="s">
        <v>560</v>
      </c>
      <c r="B300" s="9">
        <v>46218</v>
      </c>
      <c r="C300" s="8" t="s">
        <v>33</v>
      </c>
      <c r="D300" s="8" t="s">
        <v>168</v>
      </c>
      <c r="E300" s="8" t="s">
        <v>221</v>
      </c>
      <c r="F300" s="8" t="s">
        <v>152</v>
      </c>
      <c r="G300" s="8" t="s">
        <v>153</v>
      </c>
      <c r="H300" s="8">
        <v>1</v>
      </c>
      <c r="I300" s="8">
        <v>27400000</v>
      </c>
      <c r="J300" s="8">
        <v>548000</v>
      </c>
      <c r="K300" s="8">
        <v>26852000</v>
      </c>
      <c r="L300" s="8" t="s">
        <v>669</v>
      </c>
      <c r="M300" s="8" t="s">
        <v>46</v>
      </c>
      <c r="N300" s="8" t="s">
        <v>22</v>
      </c>
      <c r="O300" s="8" t="s">
        <v>77</v>
      </c>
    </row>
    <row r="301" spans="1:15">
      <c r="A301" s="8" t="s">
        <v>561</v>
      </c>
      <c r="B301" s="9">
        <v>46216</v>
      </c>
      <c r="C301" s="8" t="s">
        <v>16</v>
      </c>
      <c r="D301" s="8" t="s">
        <v>34</v>
      </c>
      <c r="E301" s="8" t="s">
        <v>562</v>
      </c>
      <c r="F301" s="8" t="s">
        <v>99</v>
      </c>
      <c r="G301" s="8" t="s">
        <v>100</v>
      </c>
      <c r="H301" s="8">
        <v>1</v>
      </c>
      <c r="I301" s="8">
        <v>29800000</v>
      </c>
      <c r="J301" s="8">
        <v>0</v>
      </c>
      <c r="K301" s="8">
        <v>29800000</v>
      </c>
      <c r="L301" s="8" t="s">
        <v>669</v>
      </c>
      <c r="M301" s="8" t="s">
        <v>62</v>
      </c>
      <c r="N301" s="8" t="s">
        <v>22</v>
      </c>
      <c r="O301" s="8" t="s">
        <v>77</v>
      </c>
    </row>
    <row r="302" spans="1:15">
      <c r="A302" s="8" t="s">
        <v>563</v>
      </c>
      <c r="B302" s="9">
        <v>46217</v>
      </c>
      <c r="C302" s="8" t="s">
        <v>85</v>
      </c>
      <c r="D302" s="8" t="s">
        <v>145</v>
      </c>
      <c r="E302" s="8" t="s">
        <v>278</v>
      </c>
      <c r="F302" s="8" t="s">
        <v>91</v>
      </c>
      <c r="G302" s="8" t="s">
        <v>92</v>
      </c>
      <c r="H302" s="8">
        <v>1</v>
      </c>
      <c r="I302" s="8">
        <v>26900000</v>
      </c>
      <c r="J302" s="8">
        <v>807000</v>
      </c>
      <c r="K302" s="8">
        <v>26093000</v>
      </c>
      <c r="L302" s="8" t="s">
        <v>669</v>
      </c>
      <c r="M302" s="8" t="s">
        <v>38</v>
      </c>
      <c r="N302" s="8" t="s">
        <v>22</v>
      </c>
      <c r="O302" s="8" t="s">
        <v>39</v>
      </c>
    </row>
    <row r="303" spans="1:15">
      <c r="A303" s="8" t="s">
        <v>564</v>
      </c>
      <c r="B303" s="9">
        <v>46217</v>
      </c>
      <c r="C303" s="8" t="s">
        <v>33</v>
      </c>
      <c r="D303" s="8" t="s">
        <v>242</v>
      </c>
      <c r="E303" s="8" t="s">
        <v>133</v>
      </c>
      <c r="F303" s="8" t="s">
        <v>152</v>
      </c>
      <c r="G303" s="8" t="s">
        <v>153</v>
      </c>
      <c r="H303" s="8">
        <v>1</v>
      </c>
      <c r="I303" s="8">
        <v>27400000</v>
      </c>
      <c r="J303" s="8">
        <v>822000</v>
      </c>
      <c r="K303" s="8">
        <v>26578000</v>
      </c>
      <c r="L303" s="8" t="s">
        <v>669</v>
      </c>
      <c r="M303" s="8" t="s">
        <v>46</v>
      </c>
      <c r="N303" s="8" t="s">
        <v>22</v>
      </c>
      <c r="O303" s="8" t="s">
        <v>23</v>
      </c>
    </row>
    <row r="304" spans="1:15">
      <c r="A304" s="8" t="s">
        <v>565</v>
      </c>
      <c r="B304" s="9">
        <v>46221</v>
      </c>
      <c r="C304" s="8" t="s">
        <v>85</v>
      </c>
      <c r="D304" s="8" t="s">
        <v>80</v>
      </c>
      <c r="E304" s="8" t="s">
        <v>566</v>
      </c>
      <c r="F304" s="8" t="s">
        <v>19</v>
      </c>
      <c r="G304" s="8" t="s">
        <v>20</v>
      </c>
      <c r="H304" s="8">
        <v>1</v>
      </c>
      <c r="I304" s="8">
        <v>33500000</v>
      </c>
      <c r="J304" s="8">
        <v>0</v>
      </c>
      <c r="K304" s="8">
        <v>33500000</v>
      </c>
      <c r="L304" s="8" t="s">
        <v>669</v>
      </c>
      <c r="M304" s="8" t="s">
        <v>21</v>
      </c>
      <c r="N304" s="8" t="s">
        <v>22</v>
      </c>
      <c r="O304" s="8" t="s">
        <v>77</v>
      </c>
    </row>
    <row r="305" spans="1:15">
      <c r="A305" s="8" t="s">
        <v>567</v>
      </c>
      <c r="B305" s="9">
        <v>46216</v>
      </c>
      <c r="C305" s="8" t="s">
        <v>71</v>
      </c>
      <c r="D305" s="8" t="s">
        <v>80</v>
      </c>
      <c r="E305" s="8" t="s">
        <v>568</v>
      </c>
      <c r="F305" s="8" t="s">
        <v>19</v>
      </c>
      <c r="G305" s="8" t="s">
        <v>20</v>
      </c>
      <c r="H305" s="8">
        <v>1</v>
      </c>
      <c r="I305" s="8">
        <v>33500000</v>
      </c>
      <c r="J305" s="8">
        <v>1675000</v>
      </c>
      <c r="K305" s="8">
        <v>31825000</v>
      </c>
      <c r="L305" s="8" t="s">
        <v>669</v>
      </c>
      <c r="M305" s="8" t="s">
        <v>46</v>
      </c>
      <c r="N305" s="8" t="s">
        <v>22</v>
      </c>
      <c r="O305" s="8" t="s">
        <v>39</v>
      </c>
    </row>
    <row r="306" spans="1:15">
      <c r="A306" s="8" t="s">
        <v>569</v>
      </c>
      <c r="B306" s="9">
        <v>46217</v>
      </c>
      <c r="C306" s="8" t="s">
        <v>65</v>
      </c>
      <c r="D306" s="8" t="s">
        <v>75</v>
      </c>
      <c r="E306" s="8" t="s">
        <v>381</v>
      </c>
      <c r="F306" s="8" t="s">
        <v>99</v>
      </c>
      <c r="G306" s="8" t="s">
        <v>100</v>
      </c>
      <c r="H306" s="8">
        <v>1</v>
      </c>
      <c r="I306" s="8">
        <v>29800000</v>
      </c>
      <c r="J306" s="8">
        <v>894000</v>
      </c>
      <c r="K306" s="8">
        <v>28906000</v>
      </c>
      <c r="L306" s="8" t="s">
        <v>669</v>
      </c>
      <c r="M306" s="8" t="s">
        <v>46</v>
      </c>
      <c r="N306" s="8" t="s">
        <v>22</v>
      </c>
      <c r="O306" s="8" t="s">
        <v>39</v>
      </c>
    </row>
    <row r="307" spans="1:15">
      <c r="A307" s="8" t="s">
        <v>570</v>
      </c>
      <c r="B307" s="9">
        <v>46216</v>
      </c>
      <c r="C307" s="8" t="s">
        <v>26</v>
      </c>
      <c r="D307" s="8" t="s">
        <v>126</v>
      </c>
      <c r="E307" s="8" t="s">
        <v>286</v>
      </c>
      <c r="F307" s="8" t="s">
        <v>152</v>
      </c>
      <c r="G307" s="8" t="s">
        <v>153</v>
      </c>
      <c r="H307" s="8">
        <v>1</v>
      </c>
      <c r="I307" s="8">
        <v>27400000</v>
      </c>
      <c r="J307" s="8">
        <v>274000</v>
      </c>
      <c r="K307" s="8">
        <v>27126000</v>
      </c>
      <c r="L307" s="8" t="s">
        <v>669</v>
      </c>
      <c r="M307" s="8" t="s">
        <v>29</v>
      </c>
      <c r="N307" s="8" t="s">
        <v>22</v>
      </c>
      <c r="O307" s="8" t="s">
        <v>23</v>
      </c>
    </row>
    <row r="308" spans="1:15">
      <c r="A308" s="8" t="s">
        <v>571</v>
      </c>
      <c r="B308" s="9">
        <v>46218</v>
      </c>
      <c r="C308" s="8" t="s">
        <v>97</v>
      </c>
      <c r="D308" s="8" t="s">
        <v>242</v>
      </c>
      <c r="E308" s="8" t="s">
        <v>301</v>
      </c>
      <c r="F308" s="8" t="s">
        <v>152</v>
      </c>
      <c r="G308" s="8" t="s">
        <v>153</v>
      </c>
      <c r="H308" s="8">
        <v>1</v>
      </c>
      <c r="I308" s="8">
        <v>27400000</v>
      </c>
      <c r="J308" s="8">
        <v>0</v>
      </c>
      <c r="K308" s="8">
        <v>27400000</v>
      </c>
      <c r="L308" s="8" t="s">
        <v>669</v>
      </c>
      <c r="M308" s="8" t="s">
        <v>62</v>
      </c>
      <c r="N308" s="8" t="s">
        <v>22</v>
      </c>
      <c r="O308" s="8" t="s">
        <v>23</v>
      </c>
    </row>
    <row r="309" spans="1:15">
      <c r="A309" s="8" t="s">
        <v>572</v>
      </c>
      <c r="B309" s="9">
        <v>46218</v>
      </c>
      <c r="C309" s="8" t="s">
        <v>182</v>
      </c>
      <c r="D309" s="8" t="s">
        <v>54</v>
      </c>
      <c r="E309" s="8" t="s">
        <v>461</v>
      </c>
      <c r="F309" s="8" t="s">
        <v>44</v>
      </c>
      <c r="G309" s="8" t="s">
        <v>45</v>
      </c>
      <c r="H309" s="8">
        <v>1</v>
      </c>
      <c r="I309" s="8">
        <v>24600000</v>
      </c>
      <c r="J309" s="8">
        <v>492000</v>
      </c>
      <c r="K309" s="8">
        <v>24108000</v>
      </c>
      <c r="L309" s="8" t="s">
        <v>669</v>
      </c>
      <c r="M309" s="8" t="s">
        <v>29</v>
      </c>
      <c r="N309" s="8" t="s">
        <v>22</v>
      </c>
      <c r="O309" s="8" t="s">
        <v>23</v>
      </c>
    </row>
    <row r="310" spans="1:15">
      <c r="A310" s="8" t="s">
        <v>573</v>
      </c>
      <c r="B310" s="9">
        <v>46222</v>
      </c>
      <c r="C310" s="8" t="s">
        <v>112</v>
      </c>
      <c r="D310" s="8" t="s">
        <v>168</v>
      </c>
      <c r="E310" s="8" t="s">
        <v>468</v>
      </c>
      <c r="F310" s="8" t="s">
        <v>36</v>
      </c>
      <c r="G310" s="8" t="s">
        <v>37</v>
      </c>
      <c r="H310" s="8">
        <v>1</v>
      </c>
      <c r="I310" s="8">
        <v>22300000</v>
      </c>
      <c r="J310" s="8">
        <v>223000</v>
      </c>
      <c r="K310" s="8">
        <v>22077000</v>
      </c>
      <c r="L310" s="8" t="s">
        <v>669</v>
      </c>
      <c r="M310" s="8" t="s">
        <v>29</v>
      </c>
      <c r="N310" s="8" t="s">
        <v>22</v>
      </c>
      <c r="O310" s="8" t="s">
        <v>39</v>
      </c>
    </row>
    <row r="311" spans="1:15">
      <c r="A311" s="8" t="s">
        <v>574</v>
      </c>
      <c r="B311" s="9">
        <v>46220</v>
      </c>
      <c r="C311" s="8" t="s">
        <v>65</v>
      </c>
      <c r="D311" s="8" t="s">
        <v>80</v>
      </c>
      <c r="E311" s="8" t="s">
        <v>670</v>
      </c>
      <c r="F311" s="8" t="s">
        <v>36</v>
      </c>
      <c r="G311" s="8" t="s">
        <v>37</v>
      </c>
      <c r="H311" s="8">
        <v>1</v>
      </c>
      <c r="I311" s="8">
        <v>22300000</v>
      </c>
      <c r="J311" s="8">
        <v>446000</v>
      </c>
      <c r="K311" s="8">
        <v>21854000</v>
      </c>
      <c r="L311" s="8" t="s">
        <v>669</v>
      </c>
      <c r="M311" s="8" t="s">
        <v>62</v>
      </c>
      <c r="N311" s="8" t="s">
        <v>22</v>
      </c>
      <c r="O311" s="8" t="s">
        <v>30</v>
      </c>
    </row>
    <row r="312" spans="1:15">
      <c r="A312" s="8" t="s">
        <v>575</v>
      </c>
      <c r="B312" s="9">
        <v>46221</v>
      </c>
      <c r="C312" s="8" t="s">
        <v>97</v>
      </c>
      <c r="D312" s="8" t="s">
        <v>72</v>
      </c>
      <c r="E312" s="8" t="s">
        <v>576</v>
      </c>
      <c r="F312" s="8" t="s">
        <v>68</v>
      </c>
      <c r="G312" s="8" t="s">
        <v>69</v>
      </c>
      <c r="H312" s="8">
        <v>2</v>
      </c>
      <c r="I312" s="8">
        <v>17800000</v>
      </c>
      <c r="J312" s="8">
        <v>356000</v>
      </c>
      <c r="K312" s="8">
        <v>35244000</v>
      </c>
      <c r="L312" s="8" t="s">
        <v>669</v>
      </c>
      <c r="M312" s="8" t="s">
        <v>46</v>
      </c>
      <c r="N312" s="8" t="s">
        <v>82</v>
      </c>
      <c r="O312" s="8" t="s">
        <v>77</v>
      </c>
    </row>
    <row r="313" spans="1:15">
      <c r="A313" s="8" t="s">
        <v>577</v>
      </c>
      <c r="B313" s="9">
        <v>46220</v>
      </c>
      <c r="C313" s="8" t="s">
        <v>33</v>
      </c>
      <c r="D313" s="8" t="s">
        <v>34</v>
      </c>
      <c r="E313" s="8" t="s">
        <v>314</v>
      </c>
      <c r="F313" s="8" t="s">
        <v>152</v>
      </c>
      <c r="G313" s="8" t="s">
        <v>153</v>
      </c>
      <c r="H313" s="8">
        <v>1</v>
      </c>
      <c r="I313" s="8">
        <v>27400000</v>
      </c>
      <c r="J313" s="8">
        <v>822000</v>
      </c>
      <c r="K313" s="8">
        <v>26578000</v>
      </c>
      <c r="L313" s="8" t="s">
        <v>669</v>
      </c>
      <c r="M313" s="8" t="s">
        <v>29</v>
      </c>
      <c r="N313" s="8" t="s">
        <v>87</v>
      </c>
      <c r="O313" s="8" t="s">
        <v>39</v>
      </c>
    </row>
    <row r="314" spans="1:15">
      <c r="A314" s="8" t="s">
        <v>578</v>
      </c>
      <c r="B314" s="9">
        <v>46222</v>
      </c>
      <c r="C314" s="8" t="s">
        <v>182</v>
      </c>
      <c r="D314" s="8" t="s">
        <v>72</v>
      </c>
      <c r="E314" s="8" t="s">
        <v>521</v>
      </c>
      <c r="F314" s="8" t="s">
        <v>99</v>
      </c>
      <c r="G314" s="8" t="s">
        <v>100</v>
      </c>
      <c r="H314" s="8">
        <v>1</v>
      </c>
      <c r="I314" s="8">
        <v>29800000</v>
      </c>
      <c r="J314" s="8">
        <v>0</v>
      </c>
      <c r="K314" s="8">
        <v>29800000</v>
      </c>
      <c r="L314" s="8" t="s">
        <v>669</v>
      </c>
      <c r="M314" s="8" t="s">
        <v>21</v>
      </c>
      <c r="N314" s="8" t="s">
        <v>22</v>
      </c>
      <c r="O314" s="8" t="s">
        <v>77</v>
      </c>
    </row>
    <row r="315" spans="1:15">
      <c r="A315" s="8" t="s">
        <v>579</v>
      </c>
      <c r="B315" s="9">
        <v>46216</v>
      </c>
      <c r="C315" s="8" t="s">
        <v>155</v>
      </c>
      <c r="D315" s="8" t="s">
        <v>58</v>
      </c>
      <c r="E315" s="8" t="s">
        <v>492</v>
      </c>
      <c r="F315" s="8" t="s">
        <v>68</v>
      </c>
      <c r="G315" s="8" t="s">
        <v>69</v>
      </c>
      <c r="H315" s="8">
        <v>1</v>
      </c>
      <c r="I315" s="8">
        <v>17800000</v>
      </c>
      <c r="J315" s="8">
        <v>356000</v>
      </c>
      <c r="K315" s="8">
        <v>17444000</v>
      </c>
      <c r="L315" s="8" t="s">
        <v>669</v>
      </c>
      <c r="M315" s="8" t="s">
        <v>38</v>
      </c>
      <c r="N315" s="8" t="s">
        <v>22</v>
      </c>
      <c r="O315" s="8" t="s">
        <v>77</v>
      </c>
    </row>
    <row r="316" spans="1:15">
      <c r="A316" s="8" t="s">
        <v>580</v>
      </c>
      <c r="B316" s="9">
        <v>46222</v>
      </c>
      <c r="C316" s="8" t="s">
        <v>182</v>
      </c>
      <c r="D316" s="8" t="s">
        <v>58</v>
      </c>
      <c r="E316" s="8" t="s">
        <v>507</v>
      </c>
      <c r="F316" s="8" t="s">
        <v>44</v>
      </c>
      <c r="G316" s="8" t="s">
        <v>45</v>
      </c>
      <c r="H316" s="8">
        <v>1</v>
      </c>
      <c r="I316" s="8">
        <v>24600000</v>
      </c>
      <c r="J316" s="8">
        <v>0</v>
      </c>
      <c r="K316" s="8">
        <v>24600000</v>
      </c>
      <c r="L316" s="8" t="s">
        <v>669</v>
      </c>
      <c r="M316" s="8" t="s">
        <v>62</v>
      </c>
      <c r="N316" s="8" t="s">
        <v>22</v>
      </c>
      <c r="O316" s="8" t="s">
        <v>30</v>
      </c>
    </row>
    <row r="317" spans="1:15">
      <c r="A317" s="8" t="s">
        <v>581</v>
      </c>
      <c r="B317" s="9">
        <v>46216</v>
      </c>
      <c r="C317" s="8" t="s">
        <v>85</v>
      </c>
      <c r="D317" s="8" t="s">
        <v>34</v>
      </c>
      <c r="E317" s="8" t="s">
        <v>582</v>
      </c>
      <c r="F317" s="8" t="s">
        <v>44</v>
      </c>
      <c r="G317" s="8" t="s">
        <v>45</v>
      </c>
      <c r="H317" s="8">
        <v>1</v>
      </c>
      <c r="I317" s="8">
        <v>24600000</v>
      </c>
      <c r="J317" s="8">
        <v>246000</v>
      </c>
      <c r="K317" s="8">
        <v>24354000</v>
      </c>
      <c r="L317" s="8" t="s">
        <v>669</v>
      </c>
      <c r="M317" s="8" t="s">
        <v>38</v>
      </c>
      <c r="N317" s="8" t="s">
        <v>22</v>
      </c>
      <c r="O317" s="8" t="s">
        <v>30</v>
      </c>
    </row>
    <row r="318" spans="1:15">
      <c r="A318" s="8" t="s">
        <v>583</v>
      </c>
      <c r="B318" s="9">
        <v>46222</v>
      </c>
      <c r="C318" s="8" t="s">
        <v>148</v>
      </c>
      <c r="D318" s="8" t="s">
        <v>27</v>
      </c>
      <c r="E318" s="8" t="s">
        <v>584</v>
      </c>
      <c r="F318" s="8" t="s">
        <v>142</v>
      </c>
      <c r="G318" s="8" t="s">
        <v>143</v>
      </c>
      <c r="H318" s="8">
        <v>1</v>
      </c>
      <c r="I318" s="8">
        <v>18900000</v>
      </c>
      <c r="J318" s="8">
        <v>378000</v>
      </c>
      <c r="K318" s="8">
        <v>18522000</v>
      </c>
      <c r="L318" s="8" t="s">
        <v>669</v>
      </c>
      <c r="M318" s="8" t="s">
        <v>29</v>
      </c>
      <c r="N318" s="8" t="s">
        <v>22</v>
      </c>
      <c r="O318" s="8" t="s">
        <v>23</v>
      </c>
    </row>
    <row r="319" spans="1:15">
      <c r="A319" s="8" t="s">
        <v>585</v>
      </c>
      <c r="B319" s="9">
        <v>46222</v>
      </c>
      <c r="C319" s="8" t="s">
        <v>148</v>
      </c>
      <c r="D319" s="8" t="s">
        <v>58</v>
      </c>
      <c r="E319" s="8" t="s">
        <v>507</v>
      </c>
      <c r="F319" s="8" t="s">
        <v>99</v>
      </c>
      <c r="G319" s="8" t="s">
        <v>100</v>
      </c>
      <c r="H319" s="8">
        <v>1</v>
      </c>
      <c r="I319" s="8">
        <v>29800000</v>
      </c>
      <c r="J319" s="8">
        <v>1490000</v>
      </c>
      <c r="K319" s="8">
        <v>28310000</v>
      </c>
      <c r="L319" s="8" t="s">
        <v>669</v>
      </c>
      <c r="M319" s="8" t="s">
        <v>21</v>
      </c>
      <c r="N319" s="8" t="s">
        <v>22</v>
      </c>
      <c r="O319" s="8" t="s">
        <v>39</v>
      </c>
    </row>
    <row r="320" spans="1:15">
      <c r="A320" s="8" t="s">
        <v>586</v>
      </c>
      <c r="B320" s="9">
        <v>46216</v>
      </c>
      <c r="C320" s="8" t="s">
        <v>71</v>
      </c>
      <c r="D320" s="8" t="s">
        <v>17</v>
      </c>
      <c r="E320" s="8" t="s">
        <v>146</v>
      </c>
      <c r="F320" s="8" t="s">
        <v>152</v>
      </c>
      <c r="G320" s="8" t="s">
        <v>153</v>
      </c>
      <c r="H320" s="8">
        <v>1</v>
      </c>
      <c r="I320" s="8">
        <v>27400000</v>
      </c>
      <c r="J320" s="8">
        <v>548000</v>
      </c>
      <c r="K320" s="8">
        <v>26852000</v>
      </c>
      <c r="L320" s="8" t="s">
        <v>669</v>
      </c>
      <c r="M320" s="8" t="s">
        <v>62</v>
      </c>
      <c r="N320" s="8" t="s">
        <v>22</v>
      </c>
      <c r="O320" s="8" t="s">
        <v>77</v>
      </c>
    </row>
    <row r="321" spans="1:15">
      <c r="A321" s="8" t="s">
        <v>587</v>
      </c>
      <c r="B321" s="9">
        <v>46219</v>
      </c>
      <c r="C321" s="8" t="s">
        <v>155</v>
      </c>
      <c r="D321" s="8" t="s">
        <v>49</v>
      </c>
      <c r="E321" s="8" t="s">
        <v>551</v>
      </c>
      <c r="F321" s="8" t="s">
        <v>91</v>
      </c>
      <c r="G321" s="8" t="s">
        <v>92</v>
      </c>
      <c r="H321" s="8">
        <v>1</v>
      </c>
      <c r="I321" s="8">
        <v>26900000</v>
      </c>
      <c r="J321" s="8">
        <v>269000</v>
      </c>
      <c r="K321" s="8">
        <v>26631000</v>
      </c>
      <c r="L321" s="8" t="s">
        <v>669</v>
      </c>
      <c r="M321" s="8" t="s">
        <v>46</v>
      </c>
      <c r="N321" s="8" t="s">
        <v>22</v>
      </c>
      <c r="O321" s="8" t="s">
        <v>30</v>
      </c>
    </row>
    <row r="322" spans="1:15">
      <c r="A322" s="8" t="s">
        <v>588</v>
      </c>
      <c r="B322" s="9">
        <v>46217</v>
      </c>
      <c r="C322" s="8" t="s">
        <v>16</v>
      </c>
      <c r="D322" s="8" t="s">
        <v>34</v>
      </c>
      <c r="E322" s="8" t="s">
        <v>482</v>
      </c>
      <c r="F322" s="8" t="s">
        <v>152</v>
      </c>
      <c r="G322" s="8" t="s">
        <v>153</v>
      </c>
      <c r="H322" s="8">
        <v>1</v>
      </c>
      <c r="I322" s="8">
        <v>27400000</v>
      </c>
      <c r="J322" s="8">
        <v>548000</v>
      </c>
      <c r="K322" s="8">
        <v>26852000</v>
      </c>
      <c r="L322" s="8" t="s">
        <v>669</v>
      </c>
      <c r="M322" s="8" t="s">
        <v>21</v>
      </c>
      <c r="N322" s="8" t="s">
        <v>22</v>
      </c>
      <c r="O322" s="8" t="s">
        <v>77</v>
      </c>
    </row>
    <row r="323" spans="1:15">
      <c r="A323" s="8" t="s">
        <v>589</v>
      </c>
      <c r="B323" s="9">
        <v>46221</v>
      </c>
      <c r="C323" s="8" t="s">
        <v>155</v>
      </c>
      <c r="D323" s="8" t="s">
        <v>145</v>
      </c>
      <c r="E323" s="8" t="s">
        <v>590</v>
      </c>
      <c r="F323" s="8" t="s">
        <v>19</v>
      </c>
      <c r="G323" s="8" t="s">
        <v>20</v>
      </c>
      <c r="H323" s="8">
        <v>1</v>
      </c>
      <c r="I323" s="8">
        <v>33500000</v>
      </c>
      <c r="J323" s="8">
        <v>0</v>
      </c>
      <c r="K323" s="8">
        <v>33500000</v>
      </c>
      <c r="L323" s="8" t="s">
        <v>669</v>
      </c>
      <c r="M323" s="8" t="s">
        <v>46</v>
      </c>
      <c r="N323" s="8" t="s">
        <v>22</v>
      </c>
      <c r="O323" s="8" t="s">
        <v>39</v>
      </c>
    </row>
    <row r="324" spans="1:15">
      <c r="A324" s="8" t="s">
        <v>591</v>
      </c>
      <c r="B324" s="9">
        <v>46220</v>
      </c>
      <c r="C324" s="8" t="s">
        <v>65</v>
      </c>
      <c r="D324" s="8" t="s">
        <v>145</v>
      </c>
      <c r="E324" s="8" t="s">
        <v>136</v>
      </c>
      <c r="F324" s="8" t="s">
        <v>99</v>
      </c>
      <c r="G324" s="8" t="s">
        <v>100</v>
      </c>
      <c r="H324" s="8">
        <v>1</v>
      </c>
      <c r="I324" s="8">
        <v>29800000</v>
      </c>
      <c r="J324" s="8">
        <v>298000</v>
      </c>
      <c r="K324" s="8">
        <v>29502000</v>
      </c>
      <c r="L324" s="8" t="s">
        <v>669</v>
      </c>
      <c r="M324" s="8" t="s">
        <v>29</v>
      </c>
      <c r="N324" s="8" t="s">
        <v>22</v>
      </c>
      <c r="O324" s="8" t="s">
        <v>77</v>
      </c>
    </row>
    <row r="325" spans="1:15">
      <c r="A325" s="8" t="s">
        <v>592</v>
      </c>
      <c r="B325" s="9">
        <v>46217</v>
      </c>
      <c r="C325" s="8" t="s">
        <v>112</v>
      </c>
      <c r="D325" s="8" t="s">
        <v>145</v>
      </c>
      <c r="E325" s="8" t="s">
        <v>329</v>
      </c>
      <c r="F325" s="8" t="s">
        <v>99</v>
      </c>
      <c r="G325" s="8" t="s">
        <v>100</v>
      </c>
      <c r="H325" s="8">
        <v>1</v>
      </c>
      <c r="I325" s="8">
        <v>29800000</v>
      </c>
      <c r="J325" s="8">
        <v>298000</v>
      </c>
      <c r="K325" s="8">
        <v>29502000</v>
      </c>
      <c r="L325" s="8" t="s">
        <v>669</v>
      </c>
      <c r="M325" s="8" t="s">
        <v>62</v>
      </c>
      <c r="N325" s="8" t="s">
        <v>22</v>
      </c>
      <c r="O325" s="8" t="s">
        <v>39</v>
      </c>
    </row>
    <row r="326" spans="1:15">
      <c r="A326" s="8" t="s">
        <v>593</v>
      </c>
      <c r="B326" s="9">
        <v>46217</v>
      </c>
      <c r="C326" s="8" t="s">
        <v>65</v>
      </c>
      <c r="D326" s="8" t="s">
        <v>49</v>
      </c>
      <c r="E326" s="8" t="s">
        <v>133</v>
      </c>
      <c r="F326" s="8" t="s">
        <v>19</v>
      </c>
      <c r="G326" s="8" t="s">
        <v>20</v>
      </c>
      <c r="H326" s="8">
        <v>1</v>
      </c>
      <c r="I326" s="8">
        <v>33500000</v>
      </c>
      <c r="J326" s="8">
        <v>335000</v>
      </c>
      <c r="K326" s="8">
        <v>33165000</v>
      </c>
      <c r="L326" s="8" t="s">
        <v>669</v>
      </c>
      <c r="M326" s="8" t="s">
        <v>21</v>
      </c>
      <c r="N326" s="8" t="s">
        <v>22</v>
      </c>
      <c r="O326" s="8" t="s">
        <v>23</v>
      </c>
    </row>
    <row r="327" spans="1:15">
      <c r="A327" s="8" t="s">
        <v>594</v>
      </c>
      <c r="B327" s="9">
        <v>46219</v>
      </c>
      <c r="C327" s="8" t="s">
        <v>65</v>
      </c>
      <c r="D327" s="8" t="s">
        <v>49</v>
      </c>
      <c r="E327" s="8" t="s">
        <v>595</v>
      </c>
      <c r="F327" s="8" t="s">
        <v>142</v>
      </c>
      <c r="G327" s="8" t="s">
        <v>143</v>
      </c>
      <c r="H327" s="8">
        <v>1</v>
      </c>
      <c r="I327" s="8">
        <v>18900000</v>
      </c>
      <c r="J327" s="8">
        <v>0</v>
      </c>
      <c r="K327" s="8">
        <v>18900000</v>
      </c>
      <c r="L327" s="8" t="s">
        <v>669</v>
      </c>
      <c r="M327" s="8" t="s">
        <v>46</v>
      </c>
      <c r="N327" s="8" t="s">
        <v>22</v>
      </c>
      <c r="O327" s="8" t="s">
        <v>30</v>
      </c>
    </row>
    <row r="328" spans="1:15">
      <c r="A328" s="8" t="s">
        <v>596</v>
      </c>
      <c r="B328" s="9">
        <v>46221</v>
      </c>
      <c r="C328" s="8" t="s">
        <v>65</v>
      </c>
      <c r="D328" s="8" t="s">
        <v>75</v>
      </c>
      <c r="E328" s="8" t="s">
        <v>190</v>
      </c>
      <c r="F328" s="8" t="s">
        <v>99</v>
      </c>
      <c r="G328" s="8" t="s">
        <v>100</v>
      </c>
      <c r="H328" s="8">
        <v>1</v>
      </c>
      <c r="I328" s="8">
        <v>29800000</v>
      </c>
      <c r="J328" s="8">
        <v>596000</v>
      </c>
      <c r="K328" s="8">
        <v>29204000</v>
      </c>
      <c r="L328" s="8" t="s">
        <v>669</v>
      </c>
      <c r="M328" s="8" t="s">
        <v>29</v>
      </c>
      <c r="N328" s="8" t="s">
        <v>22</v>
      </c>
      <c r="O328" s="8" t="s">
        <v>39</v>
      </c>
    </row>
    <row r="329" spans="1:15">
      <c r="A329" s="8" t="s">
        <v>597</v>
      </c>
      <c r="B329" s="9">
        <v>46221</v>
      </c>
      <c r="C329" s="8" t="s">
        <v>182</v>
      </c>
      <c r="D329" s="8" t="s">
        <v>49</v>
      </c>
      <c r="E329" s="8" t="s">
        <v>232</v>
      </c>
      <c r="F329" s="8" t="s">
        <v>142</v>
      </c>
      <c r="G329" s="8" t="s">
        <v>143</v>
      </c>
      <c r="H329" s="8">
        <v>1</v>
      </c>
      <c r="I329" s="8">
        <v>18900000</v>
      </c>
      <c r="J329" s="8">
        <v>945000</v>
      </c>
      <c r="K329" s="8">
        <v>0</v>
      </c>
      <c r="L329" s="8" t="s">
        <v>671</v>
      </c>
      <c r="M329" s="8" t="s">
        <v>62</v>
      </c>
      <c r="N329" s="8" t="s">
        <v>22</v>
      </c>
      <c r="O329" s="8" t="s">
        <v>23</v>
      </c>
    </row>
    <row r="330" spans="1:15">
      <c r="A330" s="8" t="s">
        <v>598</v>
      </c>
      <c r="B330" s="9">
        <v>46221</v>
      </c>
      <c r="C330" s="8" t="s">
        <v>48</v>
      </c>
      <c r="D330" s="8" t="s">
        <v>201</v>
      </c>
      <c r="E330" s="8" t="s">
        <v>476</v>
      </c>
      <c r="F330" s="8" t="s">
        <v>152</v>
      </c>
      <c r="G330" s="8" t="s">
        <v>153</v>
      </c>
      <c r="H330" s="8">
        <v>1</v>
      </c>
      <c r="I330" s="8">
        <v>27400000</v>
      </c>
      <c r="J330" s="8">
        <v>548000</v>
      </c>
      <c r="K330" s="8">
        <v>26852000</v>
      </c>
      <c r="L330" s="8" t="s">
        <v>669</v>
      </c>
      <c r="M330" s="8" t="s">
        <v>21</v>
      </c>
      <c r="N330" s="8" t="s">
        <v>22</v>
      </c>
      <c r="O330" s="8" t="s">
        <v>23</v>
      </c>
    </row>
    <row r="331" spans="1:15">
      <c r="A331" s="8" t="s">
        <v>599</v>
      </c>
      <c r="B331" s="9">
        <v>46219</v>
      </c>
      <c r="C331" s="8" t="s">
        <v>112</v>
      </c>
      <c r="D331" s="8" t="s">
        <v>34</v>
      </c>
      <c r="E331" s="8" t="s">
        <v>59</v>
      </c>
      <c r="F331" s="8" t="s">
        <v>142</v>
      </c>
      <c r="G331" s="8" t="s">
        <v>143</v>
      </c>
      <c r="H331" s="8">
        <v>1</v>
      </c>
      <c r="I331" s="8">
        <v>18900000</v>
      </c>
      <c r="J331" s="8">
        <v>378000</v>
      </c>
      <c r="K331" s="8">
        <v>18522000</v>
      </c>
      <c r="L331" s="8" t="s">
        <v>669</v>
      </c>
      <c r="M331" s="8" t="s">
        <v>38</v>
      </c>
      <c r="N331" s="8" t="s">
        <v>22</v>
      </c>
      <c r="O331" s="8" t="s">
        <v>39</v>
      </c>
    </row>
    <row r="332" spans="1:15">
      <c r="A332" s="8" t="s">
        <v>600</v>
      </c>
      <c r="B332" s="9">
        <v>46221</v>
      </c>
      <c r="C332" s="8" t="s">
        <v>85</v>
      </c>
      <c r="D332" s="8" t="s">
        <v>201</v>
      </c>
      <c r="E332" s="8" t="s">
        <v>183</v>
      </c>
      <c r="F332" s="8" t="s">
        <v>99</v>
      </c>
      <c r="G332" s="8" t="s">
        <v>100</v>
      </c>
      <c r="H332" s="8">
        <v>1</v>
      </c>
      <c r="I332" s="8">
        <v>29800000</v>
      </c>
      <c r="J332" s="8">
        <v>0</v>
      </c>
      <c r="K332" s="8">
        <v>29800000</v>
      </c>
      <c r="L332" s="8" t="s">
        <v>669</v>
      </c>
      <c r="M332" s="8" t="s">
        <v>38</v>
      </c>
      <c r="N332" s="8" t="s">
        <v>22</v>
      </c>
      <c r="O332" s="8" t="s">
        <v>23</v>
      </c>
    </row>
    <row r="333" spans="1:15">
      <c r="A333" s="8" t="s">
        <v>601</v>
      </c>
      <c r="B333" s="9">
        <v>46220</v>
      </c>
      <c r="C333" s="8" t="s">
        <v>26</v>
      </c>
      <c r="D333" s="8" t="s">
        <v>98</v>
      </c>
      <c r="E333" s="8" t="s">
        <v>349</v>
      </c>
      <c r="F333" s="8" t="s">
        <v>152</v>
      </c>
      <c r="G333" s="8" t="s">
        <v>153</v>
      </c>
      <c r="H333" s="8">
        <v>1</v>
      </c>
      <c r="I333" s="8">
        <v>27400000</v>
      </c>
      <c r="J333" s="8">
        <v>0</v>
      </c>
      <c r="K333" s="8">
        <v>27400000</v>
      </c>
      <c r="L333" s="8" t="s">
        <v>669</v>
      </c>
      <c r="M333" s="8" t="s">
        <v>46</v>
      </c>
      <c r="N333" s="8" t="s">
        <v>22</v>
      </c>
      <c r="O333" s="8" t="s">
        <v>30</v>
      </c>
    </row>
    <row r="334" spans="1:15">
      <c r="A334" s="8" t="s">
        <v>602</v>
      </c>
      <c r="B334" s="9">
        <v>46217</v>
      </c>
      <c r="C334" s="8" t="s">
        <v>112</v>
      </c>
      <c r="D334" s="8" t="s">
        <v>80</v>
      </c>
      <c r="E334" s="8" t="s">
        <v>127</v>
      </c>
      <c r="F334" s="8" t="s">
        <v>60</v>
      </c>
      <c r="G334" s="8" t="s">
        <v>61</v>
      </c>
      <c r="H334" s="8">
        <v>1</v>
      </c>
      <c r="I334" s="8">
        <v>21500000</v>
      </c>
      <c r="J334" s="8">
        <v>215000</v>
      </c>
      <c r="K334" s="8">
        <v>21285000</v>
      </c>
      <c r="L334" s="8" t="s">
        <v>669</v>
      </c>
      <c r="M334" s="8" t="s">
        <v>62</v>
      </c>
      <c r="N334" s="8" t="s">
        <v>22</v>
      </c>
      <c r="O334" s="8" t="s">
        <v>77</v>
      </c>
    </row>
    <row r="335" spans="1:15">
      <c r="A335" s="8" t="s">
        <v>222</v>
      </c>
      <c r="B335" s="9">
        <v>46222</v>
      </c>
      <c r="C335" s="8" t="s">
        <v>16</v>
      </c>
      <c r="D335" s="8" t="s">
        <v>54</v>
      </c>
      <c r="E335" s="8" t="s">
        <v>223</v>
      </c>
      <c r="F335" s="8" t="s">
        <v>152</v>
      </c>
      <c r="G335" s="8" t="s">
        <v>153</v>
      </c>
      <c r="H335" s="8">
        <v>1</v>
      </c>
      <c r="I335" s="8">
        <v>27400000</v>
      </c>
      <c r="J335" s="8">
        <v>1370000</v>
      </c>
      <c r="K335" s="8">
        <v>26030000</v>
      </c>
      <c r="L335" s="8" t="s">
        <v>669</v>
      </c>
      <c r="M335" s="8" t="s">
        <v>29</v>
      </c>
      <c r="N335" s="8" t="s">
        <v>22</v>
      </c>
      <c r="O335" s="8" t="s">
        <v>23</v>
      </c>
    </row>
    <row r="336" spans="1:15">
      <c r="A336" s="8" t="s">
        <v>603</v>
      </c>
      <c r="B336" s="9">
        <v>46219</v>
      </c>
      <c r="C336" s="8" t="s">
        <v>155</v>
      </c>
      <c r="D336" s="8" t="s">
        <v>130</v>
      </c>
      <c r="E336" s="8" t="s">
        <v>240</v>
      </c>
      <c r="F336" s="8" t="s">
        <v>99</v>
      </c>
      <c r="G336" s="8" t="s">
        <v>100</v>
      </c>
      <c r="H336" s="8">
        <v>1</v>
      </c>
      <c r="I336" s="8">
        <v>29800000</v>
      </c>
      <c r="J336" s="8">
        <v>0</v>
      </c>
      <c r="K336" s="8">
        <v>29800000</v>
      </c>
      <c r="L336" s="8" t="s">
        <v>669</v>
      </c>
      <c r="M336" s="8" t="s">
        <v>21</v>
      </c>
      <c r="N336" s="8" t="s">
        <v>22</v>
      </c>
      <c r="O336" s="8" t="s">
        <v>23</v>
      </c>
    </row>
    <row r="337" spans="1:15">
      <c r="A337" s="8" t="s">
        <v>604</v>
      </c>
      <c r="B337" s="9">
        <v>46222</v>
      </c>
      <c r="C337" s="8" t="s">
        <v>85</v>
      </c>
      <c r="D337" s="8" t="s">
        <v>130</v>
      </c>
      <c r="E337" s="8" t="s">
        <v>116</v>
      </c>
      <c r="F337" s="8" t="s">
        <v>99</v>
      </c>
      <c r="G337" s="8" t="s">
        <v>100</v>
      </c>
      <c r="H337" s="8">
        <v>1</v>
      </c>
      <c r="I337" s="8">
        <v>29800000</v>
      </c>
      <c r="J337" s="8">
        <v>0</v>
      </c>
      <c r="K337" s="8">
        <v>29800000</v>
      </c>
      <c r="L337" s="8" t="s">
        <v>669</v>
      </c>
      <c r="M337" s="8" t="s">
        <v>46</v>
      </c>
      <c r="N337" s="8" t="s">
        <v>82</v>
      </c>
      <c r="O337" s="8" t="s">
        <v>30</v>
      </c>
    </row>
    <row r="338" spans="1:15">
      <c r="A338" s="8" t="s">
        <v>605</v>
      </c>
      <c r="B338" s="9">
        <v>46218</v>
      </c>
      <c r="C338" s="8" t="s">
        <v>85</v>
      </c>
      <c r="D338" s="8" t="s">
        <v>17</v>
      </c>
      <c r="E338" s="8" t="s">
        <v>606</v>
      </c>
      <c r="F338" s="8" t="s">
        <v>19</v>
      </c>
      <c r="G338" s="8" t="s">
        <v>20</v>
      </c>
      <c r="H338" s="8">
        <v>1</v>
      </c>
      <c r="I338" s="8">
        <v>33500000</v>
      </c>
      <c r="J338" s="8">
        <v>1005000</v>
      </c>
      <c r="K338" s="8">
        <v>32495000</v>
      </c>
      <c r="L338" s="8" t="s">
        <v>669</v>
      </c>
      <c r="M338" s="8" t="s">
        <v>29</v>
      </c>
      <c r="N338" s="8" t="s">
        <v>22</v>
      </c>
      <c r="O338" s="8" t="s">
        <v>77</v>
      </c>
    </row>
    <row r="339" spans="1:15">
      <c r="A339" s="8" t="s">
        <v>607</v>
      </c>
      <c r="B339" s="9">
        <v>46220</v>
      </c>
      <c r="C339" s="8" t="s">
        <v>155</v>
      </c>
      <c r="D339" s="8" t="s">
        <v>72</v>
      </c>
      <c r="E339" s="8" t="s">
        <v>540</v>
      </c>
      <c r="F339" s="8" t="s">
        <v>19</v>
      </c>
      <c r="G339" s="8" t="s">
        <v>20</v>
      </c>
      <c r="H339" s="8">
        <v>1</v>
      </c>
      <c r="I339" s="8">
        <v>33500000</v>
      </c>
      <c r="J339" s="8">
        <v>0</v>
      </c>
      <c r="K339" s="8">
        <v>33500000</v>
      </c>
      <c r="L339" s="8" t="s">
        <v>669</v>
      </c>
      <c r="M339" s="8" t="s">
        <v>21</v>
      </c>
      <c r="N339" s="8" t="s">
        <v>22</v>
      </c>
      <c r="O339" s="8" t="s">
        <v>77</v>
      </c>
    </row>
    <row r="340" spans="1:15">
      <c r="A340" s="8" t="s">
        <v>608</v>
      </c>
      <c r="B340" s="9">
        <v>46221</v>
      </c>
      <c r="C340" s="8" t="s">
        <v>182</v>
      </c>
      <c r="D340" s="8" t="s">
        <v>66</v>
      </c>
      <c r="E340" s="8" t="s">
        <v>609</v>
      </c>
      <c r="F340" s="8" t="s">
        <v>91</v>
      </c>
      <c r="G340" s="8" t="s">
        <v>92</v>
      </c>
      <c r="H340" s="8">
        <v>1</v>
      </c>
      <c r="I340" s="8">
        <v>26900000</v>
      </c>
      <c r="J340" s="8">
        <v>538000</v>
      </c>
      <c r="K340" s="8">
        <v>26362000</v>
      </c>
      <c r="L340" s="8" t="s">
        <v>669</v>
      </c>
      <c r="M340" s="8" t="s">
        <v>62</v>
      </c>
      <c r="N340" s="8" t="s">
        <v>22</v>
      </c>
      <c r="O340" s="8" t="s">
        <v>39</v>
      </c>
    </row>
    <row r="341" spans="1:15">
      <c r="A341" s="8" t="s">
        <v>610</v>
      </c>
      <c r="B341" s="9">
        <v>46217</v>
      </c>
      <c r="C341" s="8" t="s">
        <v>48</v>
      </c>
      <c r="D341" s="8" t="s">
        <v>98</v>
      </c>
      <c r="E341" s="8" t="s">
        <v>381</v>
      </c>
      <c r="F341" s="8" t="s">
        <v>68</v>
      </c>
      <c r="G341" s="8" t="s">
        <v>69</v>
      </c>
      <c r="H341" s="8">
        <v>1</v>
      </c>
      <c r="I341" s="8">
        <v>17800000</v>
      </c>
      <c r="J341" s="8">
        <v>0</v>
      </c>
      <c r="K341" s="8">
        <v>17800000</v>
      </c>
      <c r="L341" s="8" t="s">
        <v>669</v>
      </c>
      <c r="M341" s="8" t="s">
        <v>46</v>
      </c>
      <c r="N341" s="8" t="s">
        <v>22</v>
      </c>
      <c r="O341" s="8" t="s">
        <v>77</v>
      </c>
    </row>
    <row r="342" spans="1:15">
      <c r="A342" s="8" t="s">
        <v>611</v>
      </c>
      <c r="B342" s="9">
        <v>46217</v>
      </c>
      <c r="C342" s="8" t="s">
        <v>71</v>
      </c>
      <c r="D342" s="8" t="s">
        <v>126</v>
      </c>
      <c r="E342" s="8" t="s">
        <v>476</v>
      </c>
      <c r="F342" s="8" t="s">
        <v>19</v>
      </c>
      <c r="G342" s="8" t="s">
        <v>20</v>
      </c>
      <c r="H342" s="8">
        <v>1</v>
      </c>
      <c r="I342" s="8">
        <v>33500000</v>
      </c>
      <c r="J342" s="8">
        <v>670000</v>
      </c>
      <c r="K342" s="8">
        <v>32830000</v>
      </c>
      <c r="L342" s="8" t="s">
        <v>669</v>
      </c>
      <c r="M342" s="8" t="s">
        <v>38</v>
      </c>
      <c r="N342" s="8" t="s">
        <v>22</v>
      </c>
      <c r="O342" s="8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849A-F6BE-457D-81C1-C0C461E3565B}">
  <dimension ref="A1:K16"/>
  <sheetViews>
    <sheetView workbookViewId="0">
      <selection activeCell="E19" sqref="E19"/>
    </sheetView>
  </sheetViews>
  <sheetFormatPr defaultRowHeight="14.5"/>
  <cols>
    <col min="1" max="1" width="14.26953125" bestFit="1" customWidth="1"/>
    <col min="2" max="2" width="16.08984375" bestFit="1" customWidth="1"/>
    <col min="4" max="4" width="15.81640625" customWidth="1"/>
    <col min="5" max="5" width="15.6328125" customWidth="1"/>
    <col min="7" max="7" width="13.36328125" bestFit="1" customWidth="1"/>
    <col min="8" max="8" width="18" customWidth="1"/>
    <col min="10" max="10" width="15.81640625" customWidth="1"/>
    <col min="11" max="11" width="15.6328125" customWidth="1"/>
  </cols>
  <sheetData>
    <row r="1" spans="1:11">
      <c r="A1" s="11" t="s">
        <v>668</v>
      </c>
      <c r="B1" t="s">
        <v>669</v>
      </c>
    </row>
    <row r="2" spans="1:11">
      <c r="D2" s="32" t="s">
        <v>678</v>
      </c>
      <c r="E2" s="33"/>
    </row>
    <row r="3" spans="1:11">
      <c r="A3" s="14" t="s">
        <v>674</v>
      </c>
      <c r="B3" s="8" t="s">
        <v>676</v>
      </c>
      <c r="D3" s="16" t="s">
        <v>614</v>
      </c>
      <c r="E3" s="17" t="s">
        <v>677</v>
      </c>
      <c r="G3" t="s">
        <v>674</v>
      </c>
      <c r="H3" t="s">
        <v>676</v>
      </c>
      <c r="J3" t="s">
        <v>614</v>
      </c>
      <c r="K3" t="s">
        <v>677</v>
      </c>
    </row>
    <row r="4" spans="1:11">
      <c r="A4" s="15" t="s">
        <v>65</v>
      </c>
      <c r="B4" s="8">
        <v>906597000</v>
      </c>
      <c r="D4" s="13">
        <f>SUMIFS('Target Sales'!D:D,'Target Sales'!A:A,A4)</f>
        <v>520000000</v>
      </c>
      <c r="E4" s="21">
        <f t="shared" ref="E4:E15" si="0">B4/D4</f>
        <v>1.7434557692307693</v>
      </c>
      <c r="G4" t="s">
        <v>65</v>
      </c>
      <c r="H4">
        <v>906597000</v>
      </c>
      <c r="J4">
        <v>520000000</v>
      </c>
      <c r="K4">
        <v>1.7434557692307693</v>
      </c>
    </row>
    <row r="5" spans="1:11">
      <c r="A5" s="15" t="s">
        <v>71</v>
      </c>
      <c r="B5" s="8">
        <v>923721000</v>
      </c>
      <c r="D5" s="13">
        <f>SUMIFS('Target Sales'!D:D,'Target Sales'!A:A,A5)</f>
        <v>260000000</v>
      </c>
      <c r="E5" s="21">
        <f t="shared" si="0"/>
        <v>3.552773076923077</v>
      </c>
      <c r="G5" t="s">
        <v>71</v>
      </c>
      <c r="H5">
        <v>923721000</v>
      </c>
      <c r="J5">
        <v>260000000</v>
      </c>
      <c r="K5">
        <v>3.552773076923077</v>
      </c>
    </row>
    <row r="6" spans="1:11">
      <c r="A6" s="15" t="s">
        <v>182</v>
      </c>
      <c r="B6" s="8">
        <v>598845000</v>
      </c>
      <c r="D6" s="13">
        <f>SUMIFS('Target Sales'!D:D,'Target Sales'!A:A,A6)</f>
        <v>208000000</v>
      </c>
      <c r="E6" s="21">
        <f t="shared" si="0"/>
        <v>2.8790624999999999</v>
      </c>
      <c r="G6" t="s">
        <v>182</v>
      </c>
      <c r="H6">
        <v>598845000</v>
      </c>
      <c r="J6">
        <v>208000000</v>
      </c>
      <c r="K6">
        <v>2.8790624999999999</v>
      </c>
    </row>
    <row r="7" spans="1:11">
      <c r="A7" s="15" t="s">
        <v>16</v>
      </c>
      <c r="B7" s="8">
        <v>800267000</v>
      </c>
      <c r="D7" s="13">
        <f>SUMIFS('Target Sales'!D:D,'Target Sales'!A:A,A7)</f>
        <v>468000000</v>
      </c>
      <c r="E7" s="21">
        <f t="shared" si="0"/>
        <v>1.7099722222222222</v>
      </c>
      <c r="G7" t="s">
        <v>16</v>
      </c>
      <c r="H7">
        <v>800267000</v>
      </c>
      <c r="J7">
        <v>468000000</v>
      </c>
      <c r="K7">
        <v>1.7099722222222222</v>
      </c>
    </row>
    <row r="8" spans="1:11">
      <c r="A8" s="15" t="s">
        <v>148</v>
      </c>
      <c r="B8" s="8">
        <v>760218000</v>
      </c>
      <c r="D8" s="13">
        <f>SUMIFS('Target Sales'!D:D,'Target Sales'!A:A,A8)</f>
        <v>260000000</v>
      </c>
      <c r="E8" s="21">
        <f t="shared" si="0"/>
        <v>2.9239153846153845</v>
      </c>
      <c r="G8" t="s">
        <v>148</v>
      </c>
      <c r="H8">
        <v>760218000</v>
      </c>
      <c r="J8">
        <v>260000000</v>
      </c>
      <c r="K8">
        <v>2.9239153846153845</v>
      </c>
    </row>
    <row r="9" spans="1:11">
      <c r="A9" s="15" t="s">
        <v>33</v>
      </c>
      <c r="B9" s="8">
        <v>768832000</v>
      </c>
      <c r="D9" s="13">
        <f>SUMIFS('Target Sales'!D:D,'Target Sales'!A:A,A9)</f>
        <v>260000000</v>
      </c>
      <c r="E9" s="21">
        <f t="shared" si="0"/>
        <v>2.9570461538461537</v>
      </c>
      <c r="G9" t="s">
        <v>33</v>
      </c>
      <c r="H9">
        <v>768832000</v>
      </c>
      <c r="J9">
        <v>260000000</v>
      </c>
      <c r="K9">
        <v>2.9570461538461537</v>
      </c>
    </row>
    <row r="10" spans="1:11">
      <c r="A10" s="15" t="s">
        <v>48</v>
      </c>
      <c r="B10" s="8">
        <v>918489000</v>
      </c>
      <c r="D10" s="13">
        <f>SUMIFS('Target Sales'!D:D,'Target Sales'!A:A,A10)</f>
        <v>468000000</v>
      </c>
      <c r="E10" s="21">
        <f t="shared" si="0"/>
        <v>1.9625833333333333</v>
      </c>
      <c r="G10" t="s">
        <v>48</v>
      </c>
      <c r="H10">
        <v>918489000</v>
      </c>
      <c r="J10">
        <v>468000000</v>
      </c>
      <c r="K10">
        <v>1.9625833333333333</v>
      </c>
    </row>
    <row r="11" spans="1:11">
      <c r="A11" s="15" t="s">
        <v>112</v>
      </c>
      <c r="B11" s="8">
        <v>532139000</v>
      </c>
      <c r="D11" s="13">
        <f>SUMIFS('Target Sales'!D:D,'Target Sales'!A:A,A11)</f>
        <v>260000000</v>
      </c>
      <c r="E11" s="21">
        <f t="shared" si="0"/>
        <v>2.0466884615384617</v>
      </c>
      <c r="G11" t="s">
        <v>112</v>
      </c>
      <c r="H11">
        <v>532139000</v>
      </c>
      <c r="J11">
        <v>260000000</v>
      </c>
      <c r="K11">
        <v>2.0466884615384617</v>
      </c>
    </row>
    <row r="12" spans="1:11">
      <c r="A12" s="15" t="s">
        <v>85</v>
      </c>
      <c r="B12" s="8">
        <v>862042000</v>
      </c>
      <c r="D12" s="13">
        <f>SUMIFS('Target Sales'!D:D,'Target Sales'!A:A,A12)</f>
        <v>312000000</v>
      </c>
      <c r="E12" s="21">
        <f t="shared" si="0"/>
        <v>2.7629551282051281</v>
      </c>
      <c r="G12" t="s">
        <v>85</v>
      </c>
      <c r="H12">
        <v>862042000</v>
      </c>
      <c r="J12">
        <v>312000000</v>
      </c>
      <c r="K12">
        <v>2.7629551282051281</v>
      </c>
    </row>
    <row r="13" spans="1:11">
      <c r="A13" s="15" t="s">
        <v>97</v>
      </c>
      <c r="B13" s="8">
        <v>650659000</v>
      </c>
      <c r="D13" s="13">
        <f>SUMIFS('Target Sales'!D:D,'Target Sales'!A:A,A13)</f>
        <v>468000000</v>
      </c>
      <c r="E13" s="21">
        <f t="shared" si="0"/>
        <v>1.3902970085470086</v>
      </c>
      <c r="G13" t="s">
        <v>97</v>
      </c>
      <c r="H13">
        <v>650659000</v>
      </c>
      <c r="J13">
        <v>468000000</v>
      </c>
      <c r="K13">
        <v>1.3902970085470086</v>
      </c>
    </row>
    <row r="14" spans="1:11">
      <c r="A14" s="15" t="s">
        <v>26</v>
      </c>
      <c r="B14" s="8">
        <v>924626000</v>
      </c>
      <c r="D14" s="13">
        <f>SUMIFS('Target Sales'!D:D,'Target Sales'!A:A,A14)</f>
        <v>468000000</v>
      </c>
      <c r="E14" s="21">
        <f t="shared" si="0"/>
        <v>1.9756965811965812</v>
      </c>
      <c r="G14" t="s">
        <v>26</v>
      </c>
      <c r="H14">
        <v>924626000</v>
      </c>
      <c r="J14">
        <v>468000000</v>
      </c>
      <c r="K14">
        <v>1.9756965811965812</v>
      </c>
    </row>
    <row r="15" spans="1:11">
      <c r="A15" s="15" t="s">
        <v>155</v>
      </c>
      <c r="B15" s="8">
        <v>787054000</v>
      </c>
      <c r="D15" s="13">
        <f>SUMIFS('Target Sales'!D:D,'Target Sales'!A:A,A15)</f>
        <v>364000000</v>
      </c>
      <c r="E15" s="21">
        <f t="shared" si="0"/>
        <v>2.1622362637362635</v>
      </c>
      <c r="G15" t="s">
        <v>155</v>
      </c>
      <c r="H15">
        <v>787054000</v>
      </c>
      <c r="J15">
        <v>364000000</v>
      </c>
      <c r="K15">
        <v>2.1622362637362635</v>
      </c>
    </row>
    <row r="16" spans="1:11">
      <c r="A16" s="15" t="s">
        <v>675</v>
      </c>
      <c r="B16" s="8">
        <v>9433489000</v>
      </c>
      <c r="G16" t="s">
        <v>675</v>
      </c>
      <c r="H16">
        <v>9433489000</v>
      </c>
    </row>
  </sheetData>
  <mergeCells count="1">
    <mergeCell ref="D2:E2"/>
  </mergeCells>
  <pageMargins left="0.7" right="0.7" top="0.75" bottom="0.75" header="0.3" footer="0.3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B4E7-1313-4760-ABEF-BEB3628A4BAC}">
  <dimension ref="A1:G14"/>
  <sheetViews>
    <sheetView workbookViewId="0">
      <selection activeCell="F17" sqref="F17"/>
    </sheetView>
  </sheetViews>
  <sheetFormatPr defaultRowHeight="14.5"/>
  <cols>
    <col min="1" max="1" width="14.26953125" bestFit="1" customWidth="1"/>
    <col min="2" max="2" width="16.08984375" bestFit="1" customWidth="1"/>
    <col min="3" max="3" width="10.08984375" bestFit="1" customWidth="1"/>
    <col min="5" max="5" width="12.08984375" customWidth="1"/>
    <col min="6" max="6" width="18" customWidth="1"/>
    <col min="7" max="7" width="12.08984375" customWidth="1"/>
  </cols>
  <sheetData>
    <row r="1" spans="1:7">
      <c r="A1" s="11" t="s">
        <v>668</v>
      </c>
      <c r="B1" t="s">
        <v>669</v>
      </c>
    </row>
    <row r="3" spans="1:7">
      <c r="A3" s="14" t="s">
        <v>674</v>
      </c>
      <c r="B3" s="8" t="s">
        <v>676</v>
      </c>
      <c r="C3" s="8" t="s">
        <v>679</v>
      </c>
      <c r="E3" s="26" t="s">
        <v>674</v>
      </c>
      <c r="F3" s="27" t="s">
        <v>676</v>
      </c>
      <c r="G3" s="25" t="s">
        <v>679</v>
      </c>
    </row>
    <row r="4" spans="1:7">
      <c r="A4" s="15" t="s">
        <v>20</v>
      </c>
      <c r="B4" s="8">
        <v>2631760000</v>
      </c>
      <c r="C4" s="8">
        <v>80</v>
      </c>
      <c r="E4" s="13" t="s">
        <v>20</v>
      </c>
      <c r="F4" s="8">
        <v>2631760000</v>
      </c>
      <c r="G4" s="28">
        <v>80</v>
      </c>
    </row>
    <row r="5" spans="1:7">
      <c r="A5" s="15" t="s">
        <v>100</v>
      </c>
      <c r="B5" s="8">
        <v>1811542000</v>
      </c>
      <c r="C5" s="8">
        <v>62</v>
      </c>
      <c r="E5" s="13" t="s">
        <v>100</v>
      </c>
      <c r="F5" s="8">
        <v>1811542000</v>
      </c>
      <c r="G5" s="28">
        <v>62</v>
      </c>
    </row>
    <row r="6" spans="1:7">
      <c r="A6" s="15" t="s">
        <v>153</v>
      </c>
      <c r="B6" s="8">
        <v>1025034000</v>
      </c>
      <c r="C6" s="8">
        <v>38</v>
      </c>
      <c r="E6" s="13" t="s">
        <v>153</v>
      </c>
      <c r="F6" s="8">
        <v>1025034000</v>
      </c>
      <c r="G6" s="28">
        <v>38</v>
      </c>
    </row>
    <row r="7" spans="1:7">
      <c r="A7" s="15" t="s">
        <v>61</v>
      </c>
      <c r="B7" s="8">
        <v>691225000</v>
      </c>
      <c r="C7" s="8">
        <v>33</v>
      </c>
      <c r="E7" s="13" t="s">
        <v>61</v>
      </c>
      <c r="F7" s="8">
        <v>691225000</v>
      </c>
      <c r="G7" s="28">
        <v>33</v>
      </c>
    </row>
    <row r="8" spans="1:7">
      <c r="A8" s="15" t="s">
        <v>52</v>
      </c>
      <c r="B8" s="8">
        <v>683880000</v>
      </c>
      <c r="C8" s="8">
        <v>17</v>
      </c>
      <c r="E8" s="13" t="s">
        <v>52</v>
      </c>
      <c r="F8" s="8">
        <v>683880000</v>
      </c>
      <c r="G8" s="28">
        <v>17</v>
      </c>
    </row>
    <row r="9" spans="1:7">
      <c r="A9" s="15" t="s">
        <v>45</v>
      </c>
      <c r="B9" s="8">
        <v>652638000</v>
      </c>
      <c r="C9" s="8">
        <v>27</v>
      </c>
      <c r="E9" s="13" t="s">
        <v>45</v>
      </c>
      <c r="F9" s="8">
        <v>652638000</v>
      </c>
      <c r="G9" s="28">
        <v>27</v>
      </c>
    </row>
    <row r="10" spans="1:7">
      <c r="A10" s="15" t="s">
        <v>143</v>
      </c>
      <c r="B10" s="8">
        <v>574938000</v>
      </c>
      <c r="C10" s="8">
        <v>31</v>
      </c>
      <c r="E10" s="13" t="s">
        <v>143</v>
      </c>
      <c r="F10" s="8">
        <v>574938000</v>
      </c>
      <c r="G10" s="28">
        <v>31</v>
      </c>
    </row>
    <row r="11" spans="1:7">
      <c r="A11" s="15" t="s">
        <v>92</v>
      </c>
      <c r="B11" s="8">
        <v>475323000</v>
      </c>
      <c r="C11" s="8">
        <v>18</v>
      </c>
      <c r="E11" s="13" t="s">
        <v>92</v>
      </c>
      <c r="F11" s="8">
        <v>475323000</v>
      </c>
      <c r="G11" s="28">
        <v>18</v>
      </c>
    </row>
    <row r="12" spans="1:7">
      <c r="A12" s="15" t="s">
        <v>69</v>
      </c>
      <c r="B12" s="8">
        <v>471700000</v>
      </c>
      <c r="C12" s="8">
        <v>27</v>
      </c>
      <c r="E12" s="13" t="s">
        <v>69</v>
      </c>
      <c r="F12" s="8">
        <v>471700000</v>
      </c>
      <c r="G12" s="28">
        <v>27</v>
      </c>
    </row>
    <row r="13" spans="1:7">
      <c r="A13" s="15" t="s">
        <v>37</v>
      </c>
      <c r="B13" s="8">
        <v>415449000</v>
      </c>
      <c r="C13" s="8">
        <v>19</v>
      </c>
      <c r="E13" s="24" t="s">
        <v>37</v>
      </c>
      <c r="F13" s="29">
        <v>415449000</v>
      </c>
      <c r="G13" s="23">
        <v>19</v>
      </c>
    </row>
    <row r="14" spans="1:7">
      <c r="A14" s="15" t="s">
        <v>675</v>
      </c>
      <c r="B14" s="8">
        <v>9433489000</v>
      </c>
      <c r="C14" s="8">
        <v>352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DB6DC-37A9-4819-BA78-6DAAFFB809C6}">
  <dimension ref="A1:I25"/>
  <sheetViews>
    <sheetView zoomScale="70" zoomScaleNormal="70" workbookViewId="0">
      <selection activeCell="K11" sqref="K11"/>
    </sheetView>
  </sheetViews>
  <sheetFormatPr defaultRowHeight="14.5"/>
  <cols>
    <col min="1" max="1" width="14.26953125" bestFit="1" customWidth="1"/>
    <col min="2" max="2" width="20.81640625" bestFit="1" customWidth="1"/>
    <col min="3" max="3" width="16.08984375" bestFit="1" customWidth="1"/>
    <col min="4" max="4" width="10.08984375" bestFit="1" customWidth="1"/>
    <col min="6" max="6" width="13.81640625" bestFit="1" customWidth="1"/>
    <col min="7" max="7" width="21.453125" customWidth="1"/>
    <col min="8" max="8" width="17.36328125" customWidth="1"/>
    <col min="9" max="9" width="11.7265625" customWidth="1"/>
  </cols>
  <sheetData>
    <row r="1" spans="1:9">
      <c r="A1" s="11" t="s">
        <v>668</v>
      </c>
      <c r="B1" t="s">
        <v>669</v>
      </c>
    </row>
    <row r="3" spans="1:9">
      <c r="A3" s="11" t="s">
        <v>674</v>
      </c>
      <c r="B3" t="s">
        <v>680</v>
      </c>
      <c r="C3" t="s">
        <v>676</v>
      </c>
      <c r="D3" t="s">
        <v>679</v>
      </c>
      <c r="F3" s="26" t="s">
        <v>674</v>
      </c>
      <c r="G3" s="27" t="s">
        <v>680</v>
      </c>
      <c r="H3" s="27" t="s">
        <v>676</v>
      </c>
      <c r="I3" s="25" t="s">
        <v>679</v>
      </c>
    </row>
    <row r="4" spans="1:9">
      <c r="A4" s="12" t="s">
        <v>113</v>
      </c>
      <c r="B4">
        <v>27</v>
      </c>
      <c r="C4">
        <v>668561000</v>
      </c>
      <c r="D4">
        <v>30</v>
      </c>
      <c r="F4" s="13" t="s">
        <v>113</v>
      </c>
      <c r="G4" s="8">
        <v>27</v>
      </c>
      <c r="H4" s="8">
        <v>668561000</v>
      </c>
      <c r="I4" s="28">
        <v>30</v>
      </c>
    </row>
    <row r="5" spans="1:9">
      <c r="A5" s="12" t="s">
        <v>80</v>
      </c>
      <c r="B5">
        <v>20</v>
      </c>
      <c r="C5">
        <v>566792000</v>
      </c>
      <c r="D5">
        <v>20</v>
      </c>
      <c r="F5" s="13" t="s">
        <v>80</v>
      </c>
      <c r="G5" s="8">
        <v>20</v>
      </c>
      <c r="H5" s="8">
        <v>566792000</v>
      </c>
      <c r="I5" s="28">
        <v>20</v>
      </c>
    </row>
    <row r="6" spans="1:9">
      <c r="A6" s="12" t="s">
        <v>98</v>
      </c>
      <c r="B6">
        <v>20</v>
      </c>
      <c r="C6">
        <v>554821000</v>
      </c>
      <c r="D6">
        <v>21</v>
      </c>
      <c r="F6" s="13" t="s">
        <v>98</v>
      </c>
      <c r="G6" s="8">
        <v>20</v>
      </c>
      <c r="H6" s="8">
        <v>554821000</v>
      </c>
      <c r="I6" s="28">
        <v>21</v>
      </c>
    </row>
    <row r="7" spans="1:9">
      <c r="A7" s="12" t="s">
        <v>72</v>
      </c>
      <c r="B7">
        <v>19</v>
      </c>
      <c r="C7">
        <v>538697000</v>
      </c>
      <c r="D7">
        <v>20</v>
      </c>
      <c r="F7" s="13" t="s">
        <v>72</v>
      </c>
      <c r="G7" s="8">
        <v>19</v>
      </c>
      <c r="H7" s="8">
        <v>538697000</v>
      </c>
      <c r="I7" s="28">
        <v>20</v>
      </c>
    </row>
    <row r="8" spans="1:9">
      <c r="A8" s="12" t="s">
        <v>17</v>
      </c>
      <c r="B8">
        <v>19</v>
      </c>
      <c r="C8">
        <v>524072000</v>
      </c>
      <c r="D8">
        <v>19</v>
      </c>
      <c r="F8" s="13" t="s">
        <v>17</v>
      </c>
      <c r="G8" s="8">
        <v>19</v>
      </c>
      <c r="H8" s="8">
        <v>524072000</v>
      </c>
      <c r="I8" s="28">
        <v>19</v>
      </c>
    </row>
    <row r="9" spans="1:9">
      <c r="A9" s="12" t="s">
        <v>66</v>
      </c>
      <c r="B9">
        <v>17</v>
      </c>
      <c r="C9">
        <v>522417000</v>
      </c>
      <c r="D9">
        <v>18</v>
      </c>
      <c r="F9" s="13" t="s">
        <v>66</v>
      </c>
      <c r="G9" s="8">
        <v>17</v>
      </c>
      <c r="H9" s="8">
        <v>522417000</v>
      </c>
      <c r="I9" s="28">
        <v>18</v>
      </c>
    </row>
    <row r="10" spans="1:9">
      <c r="A10" s="12" t="s">
        <v>58</v>
      </c>
      <c r="B10">
        <v>19</v>
      </c>
      <c r="C10">
        <v>507562000</v>
      </c>
      <c r="D10">
        <v>20</v>
      </c>
      <c r="F10" s="13" t="s">
        <v>58</v>
      </c>
      <c r="G10" s="8">
        <v>19</v>
      </c>
      <c r="H10" s="8">
        <v>507562000</v>
      </c>
      <c r="I10" s="28">
        <v>20</v>
      </c>
    </row>
    <row r="11" spans="1:9">
      <c r="A11" s="12" t="s">
        <v>34</v>
      </c>
      <c r="B11">
        <v>17</v>
      </c>
      <c r="C11">
        <v>490679000</v>
      </c>
      <c r="D11">
        <v>18</v>
      </c>
      <c r="F11" s="13" t="s">
        <v>34</v>
      </c>
      <c r="G11" s="8">
        <v>17</v>
      </c>
      <c r="H11" s="8">
        <v>490679000</v>
      </c>
      <c r="I11" s="28">
        <v>18</v>
      </c>
    </row>
    <row r="12" spans="1:9">
      <c r="A12" s="12" t="s">
        <v>130</v>
      </c>
      <c r="B12">
        <v>17</v>
      </c>
      <c r="C12">
        <v>478850000</v>
      </c>
      <c r="D12">
        <v>19</v>
      </c>
      <c r="F12" s="13" t="s">
        <v>130</v>
      </c>
      <c r="G12" s="8">
        <v>17</v>
      </c>
      <c r="H12" s="8">
        <v>478850000</v>
      </c>
      <c r="I12" s="28">
        <v>19</v>
      </c>
    </row>
    <row r="13" spans="1:9">
      <c r="A13" s="12" t="s">
        <v>54</v>
      </c>
      <c r="B13">
        <v>18</v>
      </c>
      <c r="C13">
        <v>466106000</v>
      </c>
      <c r="D13">
        <v>18</v>
      </c>
      <c r="F13" s="13" t="s">
        <v>54</v>
      </c>
      <c r="G13" s="8">
        <v>18</v>
      </c>
      <c r="H13" s="8">
        <v>466106000</v>
      </c>
      <c r="I13" s="28">
        <v>18</v>
      </c>
    </row>
    <row r="14" spans="1:9">
      <c r="A14" s="12" t="s">
        <v>49</v>
      </c>
      <c r="B14">
        <v>15</v>
      </c>
      <c r="C14">
        <v>453537000</v>
      </c>
      <c r="D14">
        <v>16</v>
      </c>
      <c r="F14" s="13" t="s">
        <v>49</v>
      </c>
      <c r="G14" s="8">
        <v>15</v>
      </c>
      <c r="H14" s="8">
        <v>453537000</v>
      </c>
      <c r="I14" s="28">
        <v>16</v>
      </c>
    </row>
    <row r="15" spans="1:9">
      <c r="A15" s="12" t="s">
        <v>27</v>
      </c>
      <c r="B15">
        <v>17</v>
      </c>
      <c r="C15">
        <v>451581000</v>
      </c>
      <c r="D15">
        <v>17</v>
      </c>
      <c r="F15" s="13" t="s">
        <v>27</v>
      </c>
      <c r="G15" s="8">
        <v>17</v>
      </c>
      <c r="H15" s="8">
        <v>451581000</v>
      </c>
      <c r="I15" s="28">
        <v>17</v>
      </c>
    </row>
    <row r="16" spans="1:9">
      <c r="A16" s="12" t="s">
        <v>126</v>
      </c>
      <c r="B16">
        <v>16</v>
      </c>
      <c r="C16">
        <v>444780000</v>
      </c>
      <c r="D16">
        <v>16</v>
      </c>
      <c r="F16" s="13" t="s">
        <v>126</v>
      </c>
      <c r="G16" s="8">
        <v>16</v>
      </c>
      <c r="H16" s="8">
        <v>444780000</v>
      </c>
      <c r="I16" s="28">
        <v>16</v>
      </c>
    </row>
    <row r="17" spans="1:9">
      <c r="A17" s="12" t="s">
        <v>42</v>
      </c>
      <c r="B17">
        <v>14</v>
      </c>
      <c r="C17">
        <v>417947000</v>
      </c>
      <c r="D17">
        <v>15</v>
      </c>
      <c r="F17" s="13" t="s">
        <v>42</v>
      </c>
      <c r="G17" s="8">
        <v>14</v>
      </c>
      <c r="H17" s="8">
        <v>417947000</v>
      </c>
      <c r="I17" s="28">
        <v>15</v>
      </c>
    </row>
    <row r="18" spans="1:9">
      <c r="A18" s="12" t="s">
        <v>145</v>
      </c>
      <c r="B18">
        <v>11</v>
      </c>
      <c r="C18">
        <v>391272000</v>
      </c>
      <c r="D18">
        <v>13</v>
      </c>
      <c r="F18" s="13" t="s">
        <v>145</v>
      </c>
      <c r="G18" s="8">
        <v>11</v>
      </c>
      <c r="H18" s="8">
        <v>391272000</v>
      </c>
      <c r="I18" s="28">
        <v>13</v>
      </c>
    </row>
    <row r="19" spans="1:9">
      <c r="A19" s="12" t="s">
        <v>168</v>
      </c>
      <c r="B19">
        <v>13</v>
      </c>
      <c r="C19">
        <v>360212000</v>
      </c>
      <c r="D19">
        <v>13</v>
      </c>
      <c r="F19" s="13" t="s">
        <v>168</v>
      </c>
      <c r="G19" s="8">
        <v>13</v>
      </c>
      <c r="H19" s="8">
        <v>360212000</v>
      </c>
      <c r="I19" s="28">
        <v>13</v>
      </c>
    </row>
    <row r="20" spans="1:9">
      <c r="A20" s="12" t="s">
        <v>201</v>
      </c>
      <c r="B20">
        <v>13</v>
      </c>
      <c r="C20">
        <v>339499000</v>
      </c>
      <c r="D20">
        <v>13</v>
      </c>
      <c r="F20" s="13" t="s">
        <v>201</v>
      </c>
      <c r="G20" s="8">
        <v>13</v>
      </c>
      <c r="H20" s="8">
        <v>339499000</v>
      </c>
      <c r="I20" s="28">
        <v>13</v>
      </c>
    </row>
    <row r="21" spans="1:9">
      <c r="A21" s="12" t="s">
        <v>75</v>
      </c>
      <c r="B21">
        <v>11</v>
      </c>
      <c r="C21">
        <v>339172000</v>
      </c>
      <c r="D21">
        <v>11</v>
      </c>
      <c r="F21" s="13" t="s">
        <v>75</v>
      </c>
      <c r="G21" s="8">
        <v>11</v>
      </c>
      <c r="H21" s="8">
        <v>339172000</v>
      </c>
      <c r="I21" s="28">
        <v>11</v>
      </c>
    </row>
    <row r="22" spans="1:9">
      <c r="A22" s="12" t="s">
        <v>670</v>
      </c>
      <c r="B22">
        <v>12</v>
      </c>
      <c r="C22">
        <v>331114000</v>
      </c>
      <c r="D22">
        <v>13</v>
      </c>
      <c r="F22" s="13" t="s">
        <v>670</v>
      </c>
      <c r="G22" s="8">
        <v>12</v>
      </c>
      <c r="H22" s="8">
        <v>331114000</v>
      </c>
      <c r="I22" s="28">
        <v>13</v>
      </c>
    </row>
    <row r="23" spans="1:9">
      <c r="A23" s="12" t="s">
        <v>94</v>
      </c>
      <c r="B23">
        <v>12</v>
      </c>
      <c r="C23">
        <v>324480000</v>
      </c>
      <c r="D23">
        <v>12</v>
      </c>
      <c r="F23" s="13" t="s">
        <v>94</v>
      </c>
      <c r="G23" s="8">
        <v>12</v>
      </c>
      <c r="H23" s="8">
        <v>324480000</v>
      </c>
      <c r="I23" s="28">
        <v>12</v>
      </c>
    </row>
    <row r="24" spans="1:9">
      <c r="A24" s="12" t="s">
        <v>242</v>
      </c>
      <c r="B24">
        <v>9</v>
      </c>
      <c r="C24">
        <v>261338000</v>
      </c>
      <c r="D24">
        <v>10</v>
      </c>
      <c r="F24" s="24" t="s">
        <v>242</v>
      </c>
      <c r="G24" s="29">
        <v>9</v>
      </c>
      <c r="H24" s="29">
        <v>261338000</v>
      </c>
      <c r="I24" s="23">
        <v>10</v>
      </c>
    </row>
    <row r="25" spans="1:9">
      <c r="A25" s="12" t="s">
        <v>675</v>
      </c>
      <c r="B25">
        <v>336</v>
      </c>
      <c r="C25">
        <v>9433489000</v>
      </c>
      <c r="D25">
        <v>352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B34C-F2BA-4071-BEE4-95A91E6EB47A}">
  <dimension ref="E2:S5"/>
  <sheetViews>
    <sheetView showGridLines="0" tabSelected="1" zoomScale="35" zoomScaleNormal="35" workbookViewId="0">
      <selection activeCell="E5" sqref="E5"/>
    </sheetView>
  </sheetViews>
  <sheetFormatPr defaultRowHeight="14.5"/>
  <cols>
    <col min="2" max="2" width="16.453125" customWidth="1"/>
    <col min="3" max="3" width="26.90625" bestFit="1" customWidth="1"/>
    <col min="4" max="4" width="20.1796875" customWidth="1"/>
    <col min="5" max="5" width="39" bestFit="1" customWidth="1"/>
    <col min="6" max="6" width="21.08984375" customWidth="1"/>
    <col min="7" max="7" width="33.81640625" bestFit="1" customWidth="1"/>
    <col min="10" max="10" width="49.26953125" bestFit="1" customWidth="1"/>
    <col min="13" max="13" width="35.6328125" bestFit="1" customWidth="1"/>
    <col min="14" max="14" width="51.1796875" bestFit="1" customWidth="1"/>
  </cols>
  <sheetData>
    <row r="2" spans="5:19" ht="46">
      <c r="G2" s="22" t="s">
        <v>684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4" spans="5:19" ht="36">
      <c r="E4" s="30" t="s">
        <v>681</v>
      </c>
      <c r="J4" s="30" t="s">
        <v>682</v>
      </c>
      <c r="N4" s="30" t="s">
        <v>683</v>
      </c>
    </row>
    <row r="5" spans="5:19" ht="36">
      <c r="E5" s="30">
        <f>SUM('Clean Sales Transaction'!K:K)</f>
        <v>9433489000</v>
      </c>
      <c r="J5" s="30">
        <f>SUMIFS('Clean Sales Transaction'!H:H,'Clean Sales Transaction'!L:L,"Normal")</f>
        <v>352</v>
      </c>
      <c r="N5" s="31">
        <f>AVERAGE('Target vs Actual'!E4:E15)</f>
        <v>2.3388901569495322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1C44-B338-448C-80DD-560B637D899D}">
  <dimension ref="A1:D13"/>
  <sheetViews>
    <sheetView workbookViewId="0">
      <selection activeCell="D16" sqref="D16"/>
    </sheetView>
  </sheetViews>
  <sheetFormatPr defaultRowHeight="14.5"/>
  <cols>
    <col min="1" max="1" width="13.453125" bestFit="1" customWidth="1"/>
    <col min="2" max="2" width="23.1796875" bestFit="1" customWidth="1"/>
    <col min="3" max="3" width="10.453125" bestFit="1" customWidth="1"/>
    <col min="4" max="4" width="14.54296875" bestFit="1" customWidth="1"/>
  </cols>
  <sheetData>
    <row r="1" spans="1:4">
      <c r="A1" s="18" t="s">
        <v>2</v>
      </c>
      <c r="B1" s="18" t="s">
        <v>612</v>
      </c>
      <c r="C1" s="18" t="s">
        <v>613</v>
      </c>
      <c r="D1" s="18" t="s">
        <v>614</v>
      </c>
    </row>
    <row r="2" spans="1:4">
      <c r="A2" s="19" t="s">
        <v>155</v>
      </c>
      <c r="B2" s="19" t="s">
        <v>615</v>
      </c>
      <c r="C2" s="19">
        <v>14</v>
      </c>
      <c r="D2" s="20">
        <v>364000000</v>
      </c>
    </row>
    <row r="3" spans="1:4">
      <c r="A3" s="19" t="s">
        <v>71</v>
      </c>
      <c r="B3" s="19" t="s">
        <v>615</v>
      </c>
      <c r="C3" s="19">
        <v>10</v>
      </c>
      <c r="D3" s="20">
        <v>260000000</v>
      </c>
    </row>
    <row r="4" spans="1:4">
      <c r="A4" s="19" t="s">
        <v>33</v>
      </c>
      <c r="B4" s="19" t="s">
        <v>615</v>
      </c>
      <c r="C4" s="19">
        <v>10</v>
      </c>
      <c r="D4" s="20">
        <v>260000000</v>
      </c>
    </row>
    <row r="5" spans="1:4">
      <c r="A5" s="19" t="s">
        <v>65</v>
      </c>
      <c r="B5" s="19" t="s">
        <v>615</v>
      </c>
      <c r="C5" s="19">
        <v>20</v>
      </c>
      <c r="D5" s="20">
        <v>520000000</v>
      </c>
    </row>
    <row r="6" spans="1:4">
      <c r="A6" s="19" t="s">
        <v>182</v>
      </c>
      <c r="B6" s="19" t="s">
        <v>615</v>
      </c>
      <c r="C6" s="19">
        <v>8</v>
      </c>
      <c r="D6" s="20">
        <v>208000000</v>
      </c>
    </row>
    <row r="7" spans="1:4">
      <c r="A7" s="19" t="s">
        <v>148</v>
      </c>
      <c r="B7" s="19" t="s">
        <v>615</v>
      </c>
      <c r="C7" s="19">
        <v>10</v>
      </c>
      <c r="D7" s="20">
        <v>260000000</v>
      </c>
    </row>
    <row r="8" spans="1:4">
      <c r="A8" s="19" t="s">
        <v>97</v>
      </c>
      <c r="B8" s="19" t="s">
        <v>615</v>
      </c>
      <c r="C8" s="19">
        <v>18</v>
      </c>
      <c r="D8" s="20">
        <v>468000000</v>
      </c>
    </row>
    <row r="9" spans="1:4">
      <c r="A9" s="19" t="s">
        <v>112</v>
      </c>
      <c r="B9" s="19" t="s">
        <v>615</v>
      </c>
      <c r="C9" s="19">
        <v>10</v>
      </c>
      <c r="D9" s="20">
        <v>260000000</v>
      </c>
    </row>
    <row r="10" spans="1:4">
      <c r="A10" s="19" t="s">
        <v>48</v>
      </c>
      <c r="B10" s="19" t="s">
        <v>615</v>
      </c>
      <c r="C10" s="19">
        <v>18</v>
      </c>
      <c r="D10" s="20">
        <v>468000000</v>
      </c>
    </row>
    <row r="11" spans="1:4">
      <c r="A11" s="19" t="s">
        <v>85</v>
      </c>
      <c r="B11" s="19" t="s">
        <v>615</v>
      </c>
      <c r="C11" s="19">
        <v>12</v>
      </c>
      <c r="D11" s="20">
        <v>312000000</v>
      </c>
    </row>
    <row r="12" spans="1:4">
      <c r="A12" s="19" t="s">
        <v>16</v>
      </c>
      <c r="B12" s="19" t="s">
        <v>615</v>
      </c>
      <c r="C12" s="19">
        <v>18</v>
      </c>
      <c r="D12" s="20">
        <v>468000000</v>
      </c>
    </row>
    <row r="13" spans="1:4">
      <c r="A13" s="19" t="s">
        <v>26</v>
      </c>
      <c r="B13" s="19" t="s">
        <v>615</v>
      </c>
      <c r="C13" s="19">
        <v>18</v>
      </c>
      <c r="D13" s="20">
        <v>468000000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3" customWidth="1"/>
    <col min="2" max="2" width="17" customWidth="1"/>
    <col min="3" max="3" width="15" customWidth="1"/>
    <col min="4" max="4" width="13" customWidth="1"/>
    <col min="5" max="5" width="16" customWidth="1"/>
  </cols>
  <sheetData>
    <row r="1" spans="1:5">
      <c r="A1" s="1" t="s">
        <v>616</v>
      </c>
      <c r="B1" s="1" t="s">
        <v>617</v>
      </c>
      <c r="C1" s="1" t="s">
        <v>618</v>
      </c>
      <c r="D1" s="1" t="s">
        <v>619</v>
      </c>
      <c r="E1" s="1" t="s">
        <v>620</v>
      </c>
    </row>
    <row r="2" spans="1:5">
      <c r="A2" s="2" t="s">
        <v>621</v>
      </c>
      <c r="B2" s="2" t="s">
        <v>155</v>
      </c>
      <c r="C2" s="2" t="s">
        <v>155</v>
      </c>
      <c r="D2" s="2" t="s">
        <v>622</v>
      </c>
      <c r="E2" s="2" t="s">
        <v>623</v>
      </c>
    </row>
    <row r="3" spans="1:5">
      <c r="A3" s="2" t="s">
        <v>624</v>
      </c>
      <c r="B3" s="2" t="s">
        <v>71</v>
      </c>
      <c r="C3" s="2" t="s">
        <v>71</v>
      </c>
      <c r="D3" s="2" t="s">
        <v>625</v>
      </c>
      <c r="E3" s="2" t="s">
        <v>626</v>
      </c>
    </row>
    <row r="4" spans="1:5">
      <c r="A4" s="2" t="s">
        <v>627</v>
      </c>
      <c r="B4" s="2" t="s">
        <v>33</v>
      </c>
      <c r="C4" s="2" t="s">
        <v>33</v>
      </c>
      <c r="D4" s="2" t="s">
        <v>625</v>
      </c>
      <c r="E4" s="2" t="s">
        <v>628</v>
      </c>
    </row>
    <row r="5" spans="1:5">
      <c r="A5" s="2" t="s">
        <v>629</v>
      </c>
      <c r="B5" s="2" t="s">
        <v>65</v>
      </c>
      <c r="C5" s="2" t="s">
        <v>65</v>
      </c>
      <c r="D5" s="2" t="s">
        <v>625</v>
      </c>
      <c r="E5" s="2" t="s">
        <v>630</v>
      </c>
    </row>
    <row r="6" spans="1:5">
      <c r="A6" s="2" t="s">
        <v>631</v>
      </c>
      <c r="B6" s="2" t="s">
        <v>182</v>
      </c>
      <c r="C6" s="2" t="s">
        <v>182</v>
      </c>
      <c r="D6" s="2" t="s">
        <v>625</v>
      </c>
      <c r="E6" s="2" t="s">
        <v>632</v>
      </c>
    </row>
    <row r="7" spans="1:5">
      <c r="A7" s="2" t="s">
        <v>633</v>
      </c>
      <c r="B7" s="2" t="s">
        <v>148</v>
      </c>
      <c r="C7" s="2" t="s">
        <v>148</v>
      </c>
      <c r="D7" s="2" t="s">
        <v>625</v>
      </c>
      <c r="E7" s="2" t="s">
        <v>634</v>
      </c>
    </row>
    <row r="8" spans="1:5">
      <c r="A8" s="2" t="s">
        <v>635</v>
      </c>
      <c r="B8" s="2" t="s">
        <v>97</v>
      </c>
      <c r="C8" s="2" t="s">
        <v>97</v>
      </c>
      <c r="D8" s="2" t="s">
        <v>622</v>
      </c>
      <c r="E8" s="2" t="s">
        <v>636</v>
      </c>
    </row>
    <row r="9" spans="1:5">
      <c r="A9" s="2" t="s">
        <v>637</v>
      </c>
      <c r="B9" s="2" t="s">
        <v>112</v>
      </c>
      <c r="C9" s="2" t="s">
        <v>638</v>
      </c>
      <c r="D9" s="2" t="s">
        <v>639</v>
      </c>
      <c r="E9" s="2" t="s">
        <v>640</v>
      </c>
    </row>
    <row r="10" spans="1:5">
      <c r="A10" s="2" t="s">
        <v>641</v>
      </c>
      <c r="B10" s="2" t="s">
        <v>48</v>
      </c>
      <c r="C10" s="2" t="s">
        <v>638</v>
      </c>
      <c r="D10" s="2" t="s">
        <v>639</v>
      </c>
      <c r="E10" s="2" t="s">
        <v>642</v>
      </c>
    </row>
    <row r="11" spans="1:5">
      <c r="A11" s="2" t="s">
        <v>643</v>
      </c>
      <c r="B11" s="2" t="s">
        <v>85</v>
      </c>
      <c r="C11" s="2" t="s">
        <v>85</v>
      </c>
      <c r="D11" s="2" t="s">
        <v>625</v>
      </c>
      <c r="E11" s="2" t="s">
        <v>644</v>
      </c>
    </row>
    <row r="12" spans="1:5">
      <c r="A12" s="2" t="s">
        <v>645</v>
      </c>
      <c r="B12" s="2" t="s">
        <v>16</v>
      </c>
      <c r="C12" s="2" t="s">
        <v>112</v>
      </c>
      <c r="D12" s="2" t="s">
        <v>639</v>
      </c>
      <c r="E12" s="2" t="s">
        <v>646</v>
      </c>
    </row>
    <row r="13" spans="1:5">
      <c r="A13" s="2" t="s">
        <v>647</v>
      </c>
      <c r="B13" s="2" t="s">
        <v>26</v>
      </c>
      <c r="C13" s="2" t="s">
        <v>26</v>
      </c>
      <c r="D13" s="2" t="s">
        <v>625</v>
      </c>
      <c r="E13" s="2" t="s">
        <v>648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2" width="14" customWidth="1"/>
    <col min="3" max="3" width="16" customWidth="1"/>
    <col min="4" max="4" width="12" customWidth="1"/>
  </cols>
  <sheetData>
    <row r="1" spans="1:4">
      <c r="A1" s="1" t="s">
        <v>5</v>
      </c>
      <c r="B1" s="1" t="s">
        <v>6</v>
      </c>
      <c r="C1" s="1" t="s">
        <v>649</v>
      </c>
      <c r="D1" s="1" t="s">
        <v>8</v>
      </c>
    </row>
    <row r="2" spans="1:4">
      <c r="A2" s="2" t="s">
        <v>19</v>
      </c>
      <c r="B2" s="2" t="s">
        <v>20</v>
      </c>
      <c r="C2" s="2" t="s">
        <v>650</v>
      </c>
      <c r="D2" s="3">
        <v>33500000</v>
      </c>
    </row>
    <row r="3" spans="1:4">
      <c r="A3" s="2" t="s">
        <v>99</v>
      </c>
      <c r="B3" s="2" t="s">
        <v>100</v>
      </c>
      <c r="C3" s="2" t="s">
        <v>651</v>
      </c>
      <c r="D3" s="3">
        <v>29800000</v>
      </c>
    </row>
    <row r="4" spans="1:4">
      <c r="A4" s="2" t="s">
        <v>152</v>
      </c>
      <c r="B4" s="2" t="s">
        <v>153</v>
      </c>
      <c r="C4" s="2" t="s">
        <v>650</v>
      </c>
      <c r="D4" s="3">
        <v>27400000</v>
      </c>
    </row>
    <row r="5" spans="1:4">
      <c r="A5" s="2" t="s">
        <v>142</v>
      </c>
      <c r="B5" s="2" t="s">
        <v>143</v>
      </c>
      <c r="C5" s="2" t="s">
        <v>652</v>
      </c>
      <c r="D5" s="3">
        <v>18900000</v>
      </c>
    </row>
    <row r="6" spans="1:4">
      <c r="A6" s="2" t="s">
        <v>60</v>
      </c>
      <c r="B6" s="2" t="s">
        <v>61</v>
      </c>
      <c r="C6" s="2" t="s">
        <v>652</v>
      </c>
      <c r="D6" s="3">
        <v>21500000</v>
      </c>
    </row>
    <row r="7" spans="1:4">
      <c r="A7" s="2" t="s">
        <v>68</v>
      </c>
      <c r="B7" s="2" t="s">
        <v>69</v>
      </c>
      <c r="C7" s="2" t="s">
        <v>652</v>
      </c>
      <c r="D7" s="3">
        <v>17800000</v>
      </c>
    </row>
    <row r="8" spans="1:4">
      <c r="A8" s="2" t="s">
        <v>51</v>
      </c>
      <c r="B8" s="2" t="s">
        <v>52</v>
      </c>
      <c r="C8" s="2" t="s">
        <v>653</v>
      </c>
      <c r="D8" s="3">
        <v>41000000</v>
      </c>
    </row>
    <row r="9" spans="1:4">
      <c r="A9" s="2" t="s">
        <v>44</v>
      </c>
      <c r="B9" s="2" t="s">
        <v>45</v>
      </c>
      <c r="C9" s="2" t="s">
        <v>654</v>
      </c>
      <c r="D9" s="3">
        <v>24600000</v>
      </c>
    </row>
    <row r="10" spans="1:4">
      <c r="A10" s="2" t="s">
        <v>91</v>
      </c>
      <c r="B10" s="2" t="s">
        <v>92</v>
      </c>
      <c r="C10" s="2" t="s">
        <v>650</v>
      </c>
      <c r="D10" s="3">
        <v>26900000</v>
      </c>
    </row>
    <row r="11" spans="1:4">
      <c r="A11" s="2" t="s">
        <v>36</v>
      </c>
      <c r="B11" s="2" t="s">
        <v>37</v>
      </c>
      <c r="C11" s="2" t="s">
        <v>652</v>
      </c>
      <c r="D11" s="3">
        <v>22300000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DC49-38E5-402F-B47A-EB29376D822B}">
  <dimension ref="A1:E8"/>
  <sheetViews>
    <sheetView workbookViewId="0">
      <selection activeCell="B5" sqref="B5"/>
    </sheetView>
  </sheetViews>
  <sheetFormatPr defaultRowHeight="14.5"/>
  <cols>
    <col min="1" max="1" width="26" bestFit="1" customWidth="1"/>
  </cols>
  <sheetData>
    <row r="1" spans="1:5">
      <c r="A1" s="33" t="s">
        <v>655</v>
      </c>
      <c r="B1" s="33"/>
      <c r="C1" s="33"/>
      <c r="D1" s="33"/>
      <c r="E1" s="33"/>
    </row>
    <row r="2" spans="1:5">
      <c r="A2" s="33" t="s">
        <v>656</v>
      </c>
      <c r="B2" s="33"/>
      <c r="C2" s="33"/>
      <c r="D2" s="33"/>
      <c r="E2" s="33"/>
    </row>
    <row r="4" spans="1:5">
      <c r="A4" t="s">
        <v>657</v>
      </c>
      <c r="B4">
        <f>COUNTA('Cleaning Sales Transaction'!A:A)-1</f>
        <v>341</v>
      </c>
    </row>
    <row r="5" spans="1:5">
      <c r="A5" t="s">
        <v>658</v>
      </c>
      <c r="B5">
        <f>COUNTBLANK('Cleaning Sales Transaction'!G2:K342)</f>
        <v>14</v>
      </c>
    </row>
    <row r="6" spans="1:5">
      <c r="A6" t="s">
        <v>659</v>
      </c>
      <c r="B6">
        <f>COUNTBLANK('Cleaning Sales Transaction'!I2:I342)</f>
        <v>2</v>
      </c>
    </row>
    <row r="7" spans="1:5">
      <c r="A7" t="s">
        <v>660</v>
      </c>
      <c r="B7">
        <f>COUNTIF('Cleaning Sales Transaction'!U2:U342,"&gt;1")</f>
        <v>0</v>
      </c>
    </row>
    <row r="8" spans="1:5">
      <c r="A8" t="s">
        <v>661</v>
      </c>
      <c r="B8">
        <f>COUNTIF('Cleaning Sales Transaction'!P2:P342,0)</f>
        <v>5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Sales Transaction</vt:lpstr>
      <vt:lpstr>Cleaning Sales Transaction</vt:lpstr>
      <vt:lpstr>Clean Sales Transaction</vt:lpstr>
      <vt:lpstr>Target vs Actual</vt:lpstr>
      <vt:lpstr>Product Performance</vt:lpstr>
      <vt:lpstr>Sales Rep Performance</vt:lpstr>
      <vt:lpstr>Dashboard</vt:lpstr>
      <vt:lpstr>Target Sales</vt:lpstr>
      <vt:lpstr>Branch Master</vt:lpstr>
      <vt:lpstr>Product Master</vt:lpstr>
      <vt:lpstr>Data Profiling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farid</cp:lastModifiedBy>
  <dcterms:created xsi:type="dcterms:W3CDTF">2026-07-17T22:30:44Z</dcterms:created>
  <dcterms:modified xsi:type="dcterms:W3CDTF">2026-07-18T13:13:37Z</dcterms:modified>
</cp:coreProperties>
</file>